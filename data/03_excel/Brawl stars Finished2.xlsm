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3" codeName="{83B8AF0C-AF01-CA8F-8D1D-96F9A44741E3}"/>
  <workbookPr codeName="ThisWorkbook" defaultThemeVersion="166925"/>
  <mc:AlternateContent xmlns:mc="http://schemas.openxmlformats.org/markup-compatibility/2006">
    <mc:Choice Requires="x15">
      <x15ac:absPath xmlns:x15ac="http://schemas.microsoft.com/office/spreadsheetml/2010/11/ac" url="/Users/charliealbietz/Desktop/"/>
    </mc:Choice>
  </mc:AlternateContent>
  <xr:revisionPtr revIDLastSave="0" documentId="13_ncr:1_{F6653A7F-3FA4-6640-976B-F2F258A8492A}" xr6:coauthVersionLast="45" xr6:coauthVersionMax="45" xr10:uidLastSave="{00000000-0000-0000-0000-000000000000}"/>
  <bookViews>
    <workbookView xWindow="0" yWindow="460" windowWidth="25600" windowHeight="14760" xr2:uid="{39770707-81AE-584D-807C-4F9DA37BFE6C}"/>
  </bookViews>
  <sheets>
    <sheet name="Sheet1" sheetId="1" r:id="rId1"/>
  </sheets>
  <definedNames>
    <definedName name="_xlnm._FilterDatabase" localSheetId="0" hidden="1">Sheet1!$A$1:$G$32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 i="1" l="1"/>
  <c r="F3" i="1"/>
  <c r="F6" i="1"/>
  <c r="F8" i="1"/>
  <c r="F7" i="1"/>
  <c r="F9" i="1"/>
  <c r="F12" i="1"/>
  <c r="F13" i="1"/>
  <c r="F33" i="1"/>
  <c r="G33" i="1" s="1"/>
  <c r="F2" i="1"/>
  <c r="D3" i="1"/>
  <c r="D6" i="1"/>
  <c r="D8" i="1"/>
  <c r="D7" i="1"/>
  <c r="D9" i="1"/>
  <c r="D12" i="1"/>
  <c r="D13" i="1"/>
  <c r="D4" i="1"/>
  <c r="D10" i="1"/>
  <c r="D11" i="1"/>
  <c r="D33" i="1"/>
  <c r="D2" i="1"/>
  <c r="I3" i="1"/>
  <c r="P10" i="1" l="1"/>
  <c r="G6" i="1"/>
  <c r="G8" i="1"/>
  <c r="N5" i="1"/>
  <c r="N6" i="1" s="1"/>
  <c r="D15" i="1" l="1"/>
  <c r="D24" i="1"/>
  <c r="D27" i="1"/>
  <c r="D20" i="1"/>
  <c r="D21" i="1"/>
  <c r="D18" i="1"/>
  <c r="D19" i="1"/>
  <c r="D5" i="1"/>
  <c r="D17" i="1"/>
  <c r="D32" i="1"/>
  <c r="D29" i="1"/>
  <c r="D14" i="1"/>
  <c r="D16" i="1"/>
  <c r="D25" i="1"/>
  <c r="D31" i="1"/>
  <c r="D26" i="1"/>
  <c r="N7" i="1"/>
  <c r="P9" i="1"/>
  <c r="G2" i="1"/>
  <c r="D22" i="1" l="1"/>
  <c r="D23" i="1"/>
  <c r="D30" i="1"/>
  <c r="P8" i="1"/>
  <c r="P7" i="1" s="1"/>
  <c r="N8" i="1"/>
  <c r="N9" i="1" s="1"/>
  <c r="F28" i="1" s="1"/>
  <c r="G28" i="1" s="1"/>
  <c r="F22" i="1" l="1"/>
  <c r="G22" i="1" s="1"/>
  <c r="F23" i="1"/>
  <c r="G23" i="1" s="1"/>
  <c r="F30" i="1"/>
  <c r="G30" i="1" s="1"/>
  <c r="N10" i="1"/>
  <c r="P6" i="1"/>
  <c r="D28" i="1" s="1"/>
  <c r="F15" i="1" l="1"/>
  <c r="G15" i="1" s="1"/>
  <c r="F24" i="1"/>
  <c r="G24" i="1" s="1"/>
  <c r="F27" i="1"/>
  <c r="G27" i="1" s="1"/>
  <c r="F20" i="1"/>
  <c r="G20" i="1" s="1"/>
  <c r="F21" i="1"/>
  <c r="G21" i="1" s="1"/>
  <c r="F19" i="1"/>
  <c r="G19" i="1" s="1"/>
  <c r="F26" i="1"/>
  <c r="G26" i="1" s="1"/>
  <c r="F17" i="1"/>
  <c r="G17" i="1" s="1"/>
  <c r="F32" i="1"/>
  <c r="G32" i="1" s="1"/>
  <c r="F29" i="1"/>
  <c r="G29" i="1" s="1"/>
  <c r="F14" i="1"/>
  <c r="G14" i="1" s="1"/>
  <c r="F16" i="1"/>
  <c r="G16" i="1" s="1"/>
  <c r="F25" i="1"/>
  <c r="G25" i="1" s="1"/>
  <c r="F31" i="1"/>
  <c r="G31" i="1" s="1"/>
  <c r="G3" i="1"/>
  <c r="P5" i="1"/>
  <c r="P4" i="1" s="1"/>
  <c r="P3" i="1" s="1"/>
  <c r="I4" i="1" s="1"/>
  <c r="N11" i="1"/>
  <c r="F5" i="1" s="1"/>
  <c r="G5" i="1" s="1"/>
  <c r="G9" i="1"/>
  <c r="G12" i="1"/>
  <c r="G13" i="1"/>
  <c r="F18" i="1" l="1"/>
  <c r="G18" i="1" s="1"/>
  <c r="F4" i="1"/>
  <c r="G4" i="1" s="1"/>
  <c r="F10" i="1"/>
  <c r="G10" i="1" s="1"/>
  <c r="F11" i="1"/>
  <c r="G11" i="1" s="1"/>
  <c r="J10" i="1"/>
  <c r="K6" i="1" s="1"/>
  <c r="G7" i="1"/>
  <c r="I10" i="1" l="1"/>
  <c r="K10" i="1" s="1"/>
  <c r="J11" i="1"/>
  <c r="J12" i="1" s="1"/>
  <c r="I11" i="1"/>
  <c r="J6" i="1"/>
  <c r="I12" i="1" l="1"/>
  <c r="K12" i="1" s="1"/>
  <c r="I6" i="1"/>
  <c r="J7" i="1"/>
  <c r="J8" i="1" s="1"/>
  <c r="I7" i="1"/>
  <c r="K11" i="1"/>
  <c r="I8" i="1" l="1"/>
</calcChain>
</file>

<file path=xl/sharedStrings.xml><?xml version="1.0" encoding="utf-8"?>
<sst xmlns="http://schemas.openxmlformats.org/spreadsheetml/2006/main" count="74" uniqueCount="71">
  <si>
    <t>Crow</t>
  </si>
  <si>
    <t>Spike</t>
  </si>
  <si>
    <t>Leon</t>
  </si>
  <si>
    <t>Mortis</t>
  </si>
  <si>
    <t>Tara</t>
  </si>
  <si>
    <t>Gene</t>
  </si>
  <si>
    <t>Frank</t>
  </si>
  <si>
    <t>Pam</t>
  </si>
  <si>
    <t>Piper</t>
  </si>
  <si>
    <t>Darryl</t>
  </si>
  <si>
    <t>Penny</t>
  </si>
  <si>
    <t>Rico</t>
  </si>
  <si>
    <t>Primo</t>
  </si>
  <si>
    <t>Poco</t>
  </si>
  <si>
    <t>Bo</t>
  </si>
  <si>
    <t>Brock</t>
  </si>
  <si>
    <t>Bull</t>
  </si>
  <si>
    <t>Colt</t>
  </si>
  <si>
    <t>Dyna</t>
  </si>
  <si>
    <t>Nita</t>
  </si>
  <si>
    <t>Sandy</t>
  </si>
  <si>
    <t>Shelly</t>
  </si>
  <si>
    <t>Jessie</t>
  </si>
  <si>
    <t>Tick</t>
  </si>
  <si>
    <t>8-Bit</t>
  </si>
  <si>
    <t>Emz</t>
  </si>
  <si>
    <t>Rosa</t>
  </si>
  <si>
    <t>Carl</t>
  </si>
  <si>
    <t>Bibi</t>
  </si>
  <si>
    <t>level</t>
  </si>
  <si>
    <t>total points</t>
  </si>
  <si>
    <t>coins left</t>
  </si>
  <si>
    <t xml:space="preserve">remaing </t>
  </si>
  <si>
    <t>Left</t>
  </si>
  <si>
    <t>total</t>
  </si>
  <si>
    <t>total coins</t>
  </si>
  <si>
    <t xml:space="preserve">completed </t>
  </si>
  <si>
    <t>average</t>
  </si>
  <si>
    <t xml:space="preserve">grounding </t>
  </si>
  <si>
    <t>coins</t>
  </si>
  <si>
    <t>power points</t>
  </si>
  <si>
    <t>Opened</t>
  </si>
  <si>
    <t xml:space="preserve">Boxes </t>
  </si>
  <si>
    <t>Brawlers</t>
  </si>
  <si>
    <t>powerpoints</t>
  </si>
  <si>
    <t>Total</t>
  </si>
  <si>
    <t>Percent</t>
  </si>
  <si>
    <t>Progress</t>
  </si>
  <si>
    <t>points per level</t>
  </si>
  <si>
    <t>cost per level</t>
  </si>
  <si>
    <t>Bea</t>
  </si>
  <si>
    <t>Brawler</t>
  </si>
  <si>
    <t>Max</t>
  </si>
  <si>
    <t>Instructions</t>
  </si>
  <si>
    <t>Help</t>
  </si>
  <si>
    <t>collected</t>
  </si>
  <si>
    <t>Overall</t>
  </si>
  <si>
    <t>Tells you how many brawlers you have collected, completed and how many there are in total</t>
  </si>
  <si>
    <t>Brawlers Chart</t>
  </si>
  <si>
    <t>Boxes Chart</t>
  </si>
  <si>
    <t xml:space="preserve">Tells you how many boxes you have probably opened for the number of coins and powerpoints you have, the probabable number of boxes you have opened overall and the number of boxes you have yet to open in order to max </t>
  </si>
  <si>
    <t>Progress Chart</t>
  </si>
  <si>
    <t>Tells you how many coins/powerpoints you have collected, how many coins/powerpoints you have yet to collect and your porgress in percent. Additionally, it shows you the overall progress of your account.</t>
  </si>
  <si>
    <t>Only fill out the level of each brawler and the level score (the number of power points that brawler currently has obtained , it is ok if that brawler has more powerpoints than necessary to level up ). If you have not yet collected a brawler mark this by typing 0 for its level. Finally, in order to organise the table, you need only click on the arrow of the header in column b and organise by ascending order, then click on the header arrow for level score and order by descending and finally click the arrow on the level header and organise by descending.</t>
  </si>
  <si>
    <t xml:space="preserve">Created by </t>
  </si>
  <si>
    <t xml:space="preserve">Charlito </t>
  </si>
  <si>
    <t>Rank</t>
  </si>
  <si>
    <t>Score</t>
  </si>
  <si>
    <t>Level</t>
  </si>
  <si>
    <t>Barley</t>
  </si>
  <si>
    <t>max 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</si>
</sst>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2"/>
      <color theme="1"/>
      <name val="Calibri"/>
      <family val="2"/>
      <scheme val="minor"/>
    </font>
    <font>
      <sz val="14"/>
      <color theme="1"/>
      <name val="Calibri"/>
      <family val="2"/>
      <scheme val="minor"/>
    </font>
    <font>
      <sz val="14"/>
      <color rgb="FF444444"/>
      <name val="Helvetica"/>
      <family val="2"/>
    </font>
    <font>
      <b/>
      <sz val="14"/>
      <color theme="1"/>
      <name val="Calibri"/>
      <family val="2"/>
      <scheme val="minor"/>
    </font>
    <font>
      <sz val="14"/>
      <color theme="2"/>
      <name val="Calibri"/>
      <family val="2"/>
      <scheme val="minor"/>
    </font>
    <font>
      <sz val="14"/>
      <color rgb="FF444444"/>
      <name val="Calibri"/>
      <family val="2"/>
      <scheme val="minor"/>
    </font>
    <font>
      <b/>
      <sz val="14"/>
      <color theme="2"/>
      <name val="Calibri"/>
      <family val="2"/>
      <scheme val="minor"/>
    </font>
    <font>
      <b/>
      <sz val="16"/>
      <color theme="1"/>
      <name val="Calibri"/>
      <family val="2"/>
      <scheme val="minor"/>
    </font>
    <font>
      <sz val="14"/>
      <color theme="1"/>
      <name val="Abadi MT Condensed Extra Bold"/>
      <family val="2"/>
    </font>
    <font>
      <sz val="11"/>
      <color theme="1"/>
      <name val="Calibri"/>
      <family val="2"/>
      <scheme val="minor"/>
    </font>
  </fonts>
  <fills count="22">
    <fill>
      <patternFill patternType="none"/>
    </fill>
    <fill>
      <patternFill patternType="gray125"/>
    </fill>
    <fill>
      <patternFill patternType="solid">
        <fgColor theme="4" tint="0.79998168889431442"/>
        <bgColor indexed="64"/>
      </patternFill>
    </fill>
    <fill>
      <patternFill patternType="solid">
        <fgColor rgb="FF92D050"/>
        <bgColor indexed="64"/>
      </patternFill>
    </fill>
    <fill>
      <patternFill patternType="solid">
        <fgColor theme="8" tint="-0.249977111117893"/>
        <bgColor indexed="64"/>
      </patternFill>
    </fill>
    <fill>
      <patternFill patternType="solid">
        <fgColor rgb="FFB739FF"/>
        <bgColor indexed="64"/>
      </patternFill>
    </fill>
    <fill>
      <patternFill patternType="solid">
        <fgColor rgb="FFFF0000"/>
        <bgColor indexed="64"/>
      </patternFill>
    </fill>
    <fill>
      <patternFill patternType="solid">
        <fgColor theme="7" tint="0.39997558519241921"/>
        <bgColor indexed="64"/>
      </patternFill>
    </fill>
    <fill>
      <patternFill patternType="solid">
        <fgColor rgb="FF309DFF"/>
        <bgColor indexed="64"/>
      </patternFill>
    </fill>
    <fill>
      <patternFill patternType="solid">
        <fgColor rgb="FF0853D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B091D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FF6E95"/>
        <bgColor indexed="64"/>
      </patternFill>
    </fill>
    <fill>
      <patternFill patternType="solid">
        <fgColor rgb="FFF9CCAD"/>
        <bgColor indexed="64"/>
      </patternFill>
    </fill>
    <fill>
      <patternFill patternType="solid">
        <fgColor theme="2"/>
        <bgColor indexed="64"/>
      </patternFill>
    </fill>
    <fill>
      <patternFill patternType="solid">
        <fgColor theme="7" tint="-0.249977111117893"/>
        <bgColor indexed="64"/>
      </patternFill>
    </fill>
    <fill>
      <patternFill patternType="solid">
        <fgColor rgb="FFA9D08E"/>
        <bgColor indexed="64"/>
      </patternFill>
    </fill>
    <fill>
      <patternFill patternType="solid">
        <fgColor rgb="FF2B98FD"/>
        <bgColor indexed="64"/>
      </patternFill>
    </fill>
    <fill>
      <patternFill patternType="solid">
        <fgColor rgb="FF0853D1"/>
        <bgColor indexed="64"/>
      </patternFill>
    </fill>
  </fills>
  <borders count="50">
    <border>
      <left/>
      <right/>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style="medium">
        <color theme="1"/>
      </right>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right/>
      <top/>
      <bottom style="medium">
        <color theme="1"/>
      </bottom>
      <diagonal/>
    </border>
    <border>
      <left style="medium">
        <color indexed="64"/>
      </left>
      <right/>
      <top style="medium">
        <color indexed="64"/>
      </top>
      <bottom style="medium">
        <color indexed="64"/>
      </bottom>
      <diagonal/>
    </border>
    <border>
      <left style="medium">
        <color theme="1"/>
      </left>
      <right/>
      <top style="medium">
        <color indexed="64"/>
      </top>
      <bottom style="medium">
        <color indexed="64"/>
      </bottom>
      <diagonal/>
    </border>
    <border>
      <left/>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diagonal/>
    </border>
    <border>
      <left/>
      <right/>
      <top style="medium">
        <color theme="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top style="medium">
        <color indexed="64"/>
      </top>
      <bottom style="thin">
        <color indexed="64"/>
      </bottom>
      <diagonal/>
    </border>
    <border>
      <left/>
      <right style="thin">
        <color indexed="64"/>
      </right>
      <top/>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14">
    <xf numFmtId="0" fontId="0" fillId="0" borderId="0" xfId="0"/>
    <xf numFmtId="0" fontId="0" fillId="0" borderId="0" xfId="0" applyBorder="1"/>
    <xf numFmtId="0" fontId="0" fillId="13" borderId="0" xfId="0" applyFill="1"/>
    <xf numFmtId="0" fontId="0" fillId="13" borderId="0" xfId="0" applyFill="1" applyBorder="1"/>
    <xf numFmtId="0" fontId="3" fillId="8" borderId="3" xfId="0" applyFont="1" applyFill="1" applyBorder="1" applyAlignment="1">
      <alignment horizontal="center"/>
    </xf>
    <xf numFmtId="0" fontId="3" fillId="8" borderId="4" xfId="0" applyFont="1" applyFill="1" applyBorder="1" applyAlignment="1">
      <alignment horizontal="center"/>
    </xf>
    <xf numFmtId="0" fontId="3" fillId="8" borderId="7" xfId="0" applyFont="1" applyFill="1" applyBorder="1" applyAlignment="1">
      <alignment horizontal="center"/>
    </xf>
    <xf numFmtId="0" fontId="1" fillId="13" borderId="0" xfId="0" applyFont="1" applyFill="1"/>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12" borderId="5" xfId="0" applyFont="1" applyFill="1" applyBorder="1" applyAlignment="1">
      <alignment horizontal="center" vertical="center"/>
    </xf>
    <xf numFmtId="0" fontId="1" fillId="0" borderId="0" xfId="0" applyFont="1" applyBorder="1" applyAlignment="1">
      <alignment horizontal="center" vertical="center"/>
    </xf>
    <xf numFmtId="0" fontId="1" fillId="11" borderId="23" xfId="0" applyFont="1" applyFill="1" applyBorder="1" applyAlignment="1">
      <alignment horizontal="center" vertical="center"/>
    </xf>
    <xf numFmtId="0" fontId="1" fillId="11" borderId="25" xfId="0" applyFont="1" applyFill="1" applyBorder="1" applyAlignment="1">
      <alignment horizontal="center" vertical="center"/>
    </xf>
    <xf numFmtId="0" fontId="1" fillId="11" borderId="22" xfId="0" applyFont="1" applyFill="1" applyBorder="1" applyAlignment="1">
      <alignment horizontal="center" vertical="center"/>
    </xf>
    <xf numFmtId="0" fontId="1" fillId="12" borderId="6" xfId="0" applyFont="1" applyFill="1" applyBorder="1" applyAlignment="1">
      <alignment horizontal="center" vertical="center"/>
    </xf>
    <xf numFmtId="0" fontId="1" fillId="8" borderId="24" xfId="0" applyFont="1" applyFill="1" applyBorder="1"/>
    <xf numFmtId="0" fontId="1" fillId="8" borderId="13" xfId="0" applyFont="1" applyFill="1" applyBorder="1"/>
    <xf numFmtId="0" fontId="5" fillId="10" borderId="18" xfId="0" applyFont="1" applyFill="1" applyBorder="1" applyAlignment="1">
      <alignment horizontal="center" vertical="center"/>
    </xf>
    <xf numFmtId="0" fontId="5" fillId="10" borderId="16" xfId="0" applyFont="1" applyFill="1" applyBorder="1" applyAlignment="1">
      <alignment horizontal="center" vertical="center"/>
    </xf>
    <xf numFmtId="0" fontId="1" fillId="10" borderId="16" xfId="0" applyFont="1" applyFill="1" applyBorder="1" applyAlignment="1">
      <alignment horizontal="center" vertical="center"/>
    </xf>
    <xf numFmtId="0" fontId="5" fillId="10" borderId="28" xfId="0" applyFont="1" applyFill="1" applyBorder="1" applyAlignment="1">
      <alignment horizontal="center" vertical="center"/>
    </xf>
    <xf numFmtId="0" fontId="1" fillId="8" borderId="18" xfId="0" applyFont="1" applyFill="1" applyBorder="1"/>
    <xf numFmtId="0" fontId="1" fillId="8" borderId="15" xfId="0" applyFont="1" applyFill="1" applyBorder="1"/>
    <xf numFmtId="0" fontId="1" fillId="8" borderId="16" xfId="0" applyFont="1" applyFill="1" applyBorder="1"/>
    <xf numFmtId="0" fontId="1" fillId="8" borderId="19" xfId="0" applyFont="1" applyFill="1" applyBorder="1"/>
    <xf numFmtId="0" fontId="1" fillId="8" borderId="21" xfId="0" applyFont="1" applyFill="1" applyBorder="1"/>
    <xf numFmtId="0" fontId="1" fillId="8" borderId="14" xfId="0" applyFont="1" applyFill="1" applyBorder="1"/>
    <xf numFmtId="0" fontId="5" fillId="10" borderId="19" xfId="0" applyFont="1" applyFill="1" applyBorder="1" applyAlignment="1">
      <alignment horizontal="center" vertical="center"/>
    </xf>
    <xf numFmtId="0" fontId="1" fillId="10" borderId="21" xfId="0" applyFont="1" applyFill="1" applyBorder="1" applyAlignment="1">
      <alignment horizontal="center" vertical="center"/>
    </xf>
    <xf numFmtId="0" fontId="5" fillId="10" borderId="21" xfId="0" applyFont="1" applyFill="1" applyBorder="1" applyAlignment="1">
      <alignment horizontal="center" vertical="center"/>
    </xf>
    <xf numFmtId="0" fontId="1" fillId="10" borderId="20" xfId="0" applyFont="1" applyFill="1" applyBorder="1" applyAlignment="1">
      <alignment horizontal="center" vertical="center"/>
    </xf>
    <xf numFmtId="0" fontId="2" fillId="13" borderId="0" xfId="0" applyFont="1" applyFill="1"/>
    <xf numFmtId="0" fontId="1" fillId="13" borderId="0" xfId="0" applyFont="1" applyFill="1" applyBorder="1"/>
    <xf numFmtId="0" fontId="3" fillId="2" borderId="0" xfId="0" applyFont="1" applyFill="1" applyBorder="1" applyAlignment="1">
      <alignment horizontal="center" vertical="center"/>
    </xf>
    <xf numFmtId="0" fontId="1" fillId="12" borderId="0" xfId="0" applyFont="1" applyFill="1" applyBorder="1" applyAlignment="1">
      <alignment horizontal="center" vertical="center"/>
    </xf>
    <xf numFmtId="0" fontId="3" fillId="2" borderId="8" xfId="0" applyFont="1" applyFill="1" applyBorder="1" applyAlignment="1">
      <alignment horizontal="center" vertical="center"/>
    </xf>
    <xf numFmtId="0" fontId="1" fillId="0" borderId="9" xfId="0" applyFont="1" applyFill="1" applyBorder="1" applyAlignment="1">
      <alignment horizontal="center" vertical="center"/>
    </xf>
    <xf numFmtId="0" fontId="1" fillId="0" borderId="10" xfId="0" applyFont="1" applyBorder="1" applyAlignment="1">
      <alignment horizontal="center" vertical="center"/>
    </xf>
    <xf numFmtId="0" fontId="1" fillId="12" borderId="11" xfId="0" applyFont="1" applyFill="1" applyBorder="1" applyAlignment="1">
      <alignment horizontal="center" vertical="center"/>
    </xf>
    <xf numFmtId="0" fontId="1" fillId="0" borderId="12" xfId="0" applyFont="1" applyBorder="1" applyAlignment="1">
      <alignment horizontal="center" vertical="center"/>
    </xf>
    <xf numFmtId="0" fontId="1" fillId="14" borderId="24" xfId="0" applyFont="1" applyFill="1" applyBorder="1"/>
    <xf numFmtId="0" fontId="1" fillId="14" borderId="15" xfId="0" applyFont="1" applyFill="1" applyBorder="1"/>
    <xf numFmtId="0" fontId="1" fillId="14" borderId="26" xfId="0" applyFont="1" applyFill="1" applyBorder="1"/>
    <xf numFmtId="0" fontId="1" fillId="14" borderId="19" xfId="0" applyFont="1" applyFill="1" applyBorder="1"/>
    <xf numFmtId="0" fontId="1" fillId="14" borderId="21" xfId="0" applyFont="1" applyFill="1" applyBorder="1"/>
    <xf numFmtId="0" fontId="1" fillId="14" borderId="27" xfId="0" applyFont="1" applyFill="1" applyBorder="1"/>
    <xf numFmtId="0" fontId="4" fillId="15" borderId="23" xfId="0" applyFont="1" applyFill="1" applyBorder="1"/>
    <xf numFmtId="0" fontId="4" fillId="15" borderId="25" xfId="0" applyFont="1" applyFill="1" applyBorder="1"/>
    <xf numFmtId="0" fontId="1" fillId="8" borderId="0" xfId="0" applyFont="1" applyFill="1" applyAlignment="1">
      <alignment horizontal="center"/>
    </xf>
    <xf numFmtId="0" fontId="3" fillId="3" borderId="0" xfId="0" applyFont="1" applyFill="1" applyBorder="1" applyAlignment="1">
      <alignment horizontal="center" vertical="center"/>
    </xf>
    <xf numFmtId="0" fontId="3" fillId="7" borderId="0" xfId="0" applyFont="1" applyFill="1" applyBorder="1" applyAlignment="1">
      <alignment horizontal="center" vertical="center"/>
    </xf>
    <xf numFmtId="0" fontId="6" fillId="5" borderId="0" xfId="0" applyFont="1" applyFill="1" applyBorder="1" applyAlignment="1">
      <alignment horizontal="center" vertical="center"/>
    </xf>
    <xf numFmtId="0" fontId="6" fillId="6" borderId="0" xfId="0" applyFont="1" applyFill="1" applyBorder="1" applyAlignment="1">
      <alignment horizontal="center" vertical="center"/>
    </xf>
    <xf numFmtId="0" fontId="6" fillId="4" borderId="0"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31" xfId="0" applyFont="1" applyFill="1" applyBorder="1" applyAlignment="1">
      <alignment horizontal="center" vertical="center"/>
    </xf>
    <xf numFmtId="0" fontId="3" fillId="3" borderId="31" xfId="0" applyFont="1" applyFill="1" applyBorder="1" applyAlignment="1">
      <alignment horizontal="center" vertical="center"/>
    </xf>
    <xf numFmtId="0" fontId="6" fillId="5" borderId="31" xfId="0" applyFont="1" applyFill="1" applyBorder="1" applyAlignment="1">
      <alignment horizontal="center" vertical="center"/>
    </xf>
    <xf numFmtId="0" fontId="3" fillId="7" borderId="31" xfId="0" applyFont="1" applyFill="1" applyBorder="1" applyAlignment="1">
      <alignment horizontal="center" vertical="center"/>
    </xf>
    <xf numFmtId="0" fontId="6" fillId="6" borderId="31" xfId="0" applyFont="1" applyFill="1" applyBorder="1" applyAlignment="1">
      <alignment horizontal="center" vertical="center"/>
    </xf>
    <xf numFmtId="0" fontId="6" fillId="4" borderId="31" xfId="0" applyFont="1" applyFill="1" applyBorder="1" applyAlignment="1">
      <alignment horizontal="center" vertical="center"/>
    </xf>
    <xf numFmtId="0" fontId="1" fillId="16" borderId="18" xfId="0" applyFont="1" applyFill="1" applyBorder="1" applyAlignment="1">
      <alignment horizontal="center" vertical="center"/>
    </xf>
    <xf numFmtId="0" fontId="1" fillId="16" borderId="16" xfId="0" applyFont="1" applyFill="1" applyBorder="1" applyAlignment="1">
      <alignment horizontal="center" vertical="center"/>
    </xf>
    <xf numFmtId="0" fontId="5" fillId="16" borderId="28" xfId="0" applyFont="1" applyFill="1" applyBorder="1" applyAlignment="1">
      <alignment horizontal="center" vertical="center"/>
    </xf>
    <xf numFmtId="0" fontId="6" fillId="6" borderId="32" xfId="0" applyFont="1" applyFill="1" applyBorder="1" applyAlignment="1">
      <alignment horizontal="center" vertical="center"/>
    </xf>
    <xf numFmtId="0" fontId="4" fillId="9" borderId="39" xfId="0" applyFont="1" applyFill="1" applyBorder="1" applyAlignment="1"/>
    <xf numFmtId="0" fontId="0" fillId="19" borderId="0" xfId="0" applyFill="1"/>
    <xf numFmtId="0" fontId="4" fillId="9" borderId="42" xfId="0" applyFont="1" applyFill="1" applyBorder="1" applyAlignment="1"/>
    <xf numFmtId="0" fontId="4" fillId="15" borderId="47" xfId="0" applyFont="1" applyFill="1" applyBorder="1"/>
    <xf numFmtId="10" fontId="1" fillId="14" borderId="0" xfId="0" applyNumberFormat="1" applyFont="1" applyFill="1" applyBorder="1"/>
    <xf numFmtId="10" fontId="1" fillId="14" borderId="38" xfId="0" applyNumberFormat="1" applyFont="1" applyFill="1" applyBorder="1"/>
    <xf numFmtId="0" fontId="0" fillId="19" borderId="36" xfId="0" applyFill="1" applyBorder="1" applyAlignment="1"/>
    <xf numFmtId="0" fontId="0" fillId="19" borderId="13" xfId="0" applyFill="1" applyBorder="1" applyAlignment="1"/>
    <xf numFmtId="0" fontId="0" fillId="19" borderId="0" xfId="0" applyFill="1" applyBorder="1"/>
    <xf numFmtId="0" fontId="4" fillId="21" borderId="22" xfId="0" applyFont="1" applyFill="1" applyBorder="1"/>
    <xf numFmtId="0" fontId="4" fillId="21" borderId="30" xfId="0" applyFont="1" applyFill="1" applyBorder="1"/>
    <xf numFmtId="0" fontId="1" fillId="8" borderId="0" xfId="0" applyFont="1" applyFill="1" applyBorder="1"/>
    <xf numFmtId="0" fontId="5" fillId="10" borderId="48" xfId="0" applyFont="1" applyFill="1" applyBorder="1" applyAlignment="1">
      <alignment horizontal="center" vertical="center"/>
    </xf>
    <xf numFmtId="0" fontId="1" fillId="20" borderId="49" xfId="0" applyFont="1" applyFill="1" applyBorder="1"/>
    <xf numFmtId="0" fontId="8" fillId="18" borderId="0" xfId="0" applyFont="1" applyFill="1" applyBorder="1" applyAlignment="1">
      <alignment horizontal="center" wrapText="1"/>
    </xf>
    <xf numFmtId="0" fontId="9" fillId="17" borderId="40" xfId="0" applyFont="1" applyFill="1" applyBorder="1" applyAlignment="1">
      <alignment horizontal="left" wrapText="1"/>
    </xf>
    <xf numFmtId="0" fontId="9" fillId="17" borderId="44" xfId="0" applyFont="1" applyFill="1" applyBorder="1" applyAlignment="1">
      <alignment horizontal="left" wrapText="1"/>
    </xf>
    <xf numFmtId="0" fontId="9" fillId="17" borderId="0" xfId="0" applyFont="1" applyFill="1" applyBorder="1" applyAlignment="1">
      <alignment horizontal="left" wrapText="1"/>
    </xf>
    <xf numFmtId="0" fontId="9" fillId="17" borderId="13" xfId="0" applyFont="1" applyFill="1" applyBorder="1" applyAlignment="1">
      <alignment horizontal="left" wrapText="1"/>
    </xf>
    <xf numFmtId="0" fontId="9" fillId="17" borderId="38" xfId="0" applyFont="1" applyFill="1" applyBorder="1" applyAlignment="1">
      <alignment horizontal="left" wrapText="1"/>
    </xf>
    <xf numFmtId="0" fontId="9" fillId="17" borderId="14" xfId="0" applyFont="1" applyFill="1" applyBorder="1" applyAlignment="1">
      <alignment horizontal="left" wrapText="1"/>
    </xf>
    <xf numFmtId="0" fontId="0" fillId="17" borderId="46" xfId="0" applyFill="1" applyBorder="1" applyAlignment="1">
      <alignment horizontal="center" vertical="center"/>
    </xf>
    <xf numFmtId="0" fontId="0" fillId="17" borderId="31" xfId="0" applyFill="1" applyBorder="1" applyAlignment="1">
      <alignment horizontal="center" vertical="center"/>
    </xf>
    <xf numFmtId="0" fontId="0" fillId="17" borderId="45" xfId="0" applyFill="1" applyBorder="1" applyAlignment="1">
      <alignment horizontal="center" vertical="center"/>
    </xf>
    <xf numFmtId="0" fontId="0" fillId="17" borderId="32" xfId="0" applyFill="1" applyBorder="1" applyAlignment="1">
      <alignment horizontal="center" vertical="center"/>
    </xf>
    <xf numFmtId="0" fontId="0" fillId="17" borderId="33" xfId="0" applyFill="1" applyBorder="1" applyAlignment="1">
      <alignment horizontal="left" vertical="top" wrapText="1"/>
    </xf>
    <xf numFmtId="0" fontId="0" fillId="17" borderId="34" xfId="0" applyFill="1" applyBorder="1" applyAlignment="1">
      <alignment horizontal="left" vertical="top" wrapText="1"/>
    </xf>
    <xf numFmtId="0" fontId="0" fillId="17" borderId="35" xfId="0" applyFill="1" applyBorder="1" applyAlignment="1">
      <alignment horizontal="left" vertical="top" wrapText="1"/>
    </xf>
    <xf numFmtId="0" fontId="0" fillId="17" borderId="36" xfId="0" applyFill="1" applyBorder="1" applyAlignment="1">
      <alignment horizontal="left" vertical="top" wrapText="1"/>
    </xf>
    <xf numFmtId="0" fontId="0" fillId="17" borderId="0" xfId="0" applyFill="1" applyBorder="1" applyAlignment="1">
      <alignment horizontal="left" vertical="top" wrapText="1"/>
    </xf>
    <xf numFmtId="0" fontId="0" fillId="17" borderId="13" xfId="0" applyFill="1" applyBorder="1" applyAlignment="1">
      <alignment horizontal="left" vertical="top" wrapText="1"/>
    </xf>
    <xf numFmtId="0" fontId="0" fillId="17" borderId="37" xfId="0" applyFill="1" applyBorder="1" applyAlignment="1">
      <alignment horizontal="left" vertical="top" wrapText="1"/>
    </xf>
    <xf numFmtId="0" fontId="0" fillId="17" borderId="38" xfId="0" applyFill="1" applyBorder="1" applyAlignment="1">
      <alignment horizontal="left" vertical="top" wrapText="1"/>
    </xf>
    <xf numFmtId="0" fontId="0" fillId="17" borderId="14" xfId="0" applyFill="1" applyBorder="1" applyAlignment="1">
      <alignment horizontal="left" vertical="top" wrapText="1"/>
    </xf>
    <xf numFmtId="0" fontId="4" fillId="9" borderId="33" xfId="0" applyFont="1" applyFill="1" applyBorder="1" applyAlignment="1">
      <alignment horizontal="center"/>
    </xf>
    <xf numFmtId="0" fontId="4" fillId="9" borderId="17" xfId="0" applyFont="1" applyFill="1" applyBorder="1" applyAlignment="1">
      <alignment horizontal="center"/>
    </xf>
    <xf numFmtId="0" fontId="7" fillId="17" borderId="8" xfId="0" applyFont="1" applyFill="1" applyBorder="1" applyAlignment="1">
      <alignment horizontal="center"/>
    </xf>
    <xf numFmtId="0" fontId="7" fillId="17" borderId="10" xfId="0" applyFont="1" applyFill="1" applyBorder="1" applyAlignment="1">
      <alignment horizontal="center"/>
    </xf>
    <xf numFmtId="0" fontId="7" fillId="17" borderId="12" xfId="0" applyFont="1" applyFill="1" applyBorder="1" applyAlignment="1">
      <alignment horizontal="center"/>
    </xf>
    <xf numFmtId="0" fontId="0" fillId="17" borderId="0" xfId="0" applyFill="1" applyBorder="1" applyAlignment="1">
      <alignment horizontal="left" wrapText="1"/>
    </xf>
    <xf numFmtId="0" fontId="0" fillId="17" borderId="13" xfId="0" applyFill="1" applyBorder="1" applyAlignment="1">
      <alignment horizontal="left" wrapText="1"/>
    </xf>
    <xf numFmtId="0" fontId="0" fillId="17" borderId="41" xfId="0" applyFill="1" applyBorder="1" applyAlignment="1">
      <alignment horizontal="left" wrapText="1"/>
    </xf>
    <xf numFmtId="0" fontId="0" fillId="17" borderId="43" xfId="0" applyFill="1" applyBorder="1" applyAlignment="1">
      <alignment horizontal="left" wrapText="1"/>
    </xf>
    <xf numFmtId="0" fontId="0" fillId="17" borderId="30" xfId="0" applyFill="1" applyBorder="1" applyAlignment="1">
      <alignment horizontal="center" vertical="center"/>
    </xf>
    <xf numFmtId="0" fontId="0" fillId="17" borderId="40" xfId="0" applyFill="1" applyBorder="1" applyAlignment="1">
      <alignment horizontal="left" wrapText="1"/>
    </xf>
    <xf numFmtId="0" fontId="0" fillId="17" borderId="44" xfId="0" applyFill="1" applyBorder="1" applyAlignment="1">
      <alignment horizontal="left" wrapText="1"/>
    </xf>
  </cellXfs>
  <cellStyles count="1">
    <cellStyle name="Normal" xfId="0" builtinId="0"/>
  </cellStyles>
  <dxfs count="28">
    <dxf>
      <font>
        <strike val="0"/>
        <outline val="0"/>
        <shadow val="0"/>
        <u val="none"/>
        <vertAlign val="baseline"/>
        <sz val="14"/>
      </font>
      <alignment horizontal="center" vertical="center" textRotation="0" wrapText="0" indent="0" justifyLastLine="0" shrinkToFit="0" readingOrder="0"/>
      <border diagonalUp="0" diagonalDown="0" outline="0">
        <left/>
        <right/>
        <top/>
        <bottom style="medium">
          <color theme="1"/>
        </bottom>
      </border>
    </dxf>
    <dxf>
      <font>
        <strike val="0"/>
        <outline val="0"/>
        <shadow val="0"/>
        <u val="none"/>
        <vertAlign val="baseline"/>
        <sz val="14"/>
      </font>
      <alignment horizontal="center" vertical="center" textRotation="0" wrapText="0" indent="0" justifyLastLine="0" shrinkToFit="0" readingOrder="0"/>
      <border diagonalUp="0" diagonalDown="0" outline="0">
        <left style="medium">
          <color theme="1"/>
        </left>
        <right/>
        <top/>
        <bottom style="medium">
          <color theme="1"/>
        </bottom>
      </border>
    </dxf>
    <dxf>
      <font>
        <strike val="0"/>
        <outline val="0"/>
        <shadow val="0"/>
        <u val="none"/>
        <vertAlign val="baseline"/>
        <sz val="14"/>
      </font>
      <fill>
        <patternFill patternType="solid">
          <fgColor indexed="64"/>
          <bgColor rgb="FFB091D1"/>
        </patternFill>
      </fill>
      <alignment horizontal="center" vertical="center" textRotation="0" wrapText="0" indent="0" justifyLastLine="0" shrinkToFit="0" readingOrder="0"/>
      <border diagonalUp="0" diagonalDown="0" outline="0">
        <left style="medium">
          <color theme="1"/>
        </left>
        <right style="medium">
          <color theme="1"/>
        </right>
        <top/>
        <bottom style="medium">
          <color theme="1"/>
        </bottom>
      </border>
    </dxf>
    <dxf>
      <font>
        <strike val="0"/>
        <outline val="0"/>
        <shadow val="0"/>
        <u val="none"/>
        <vertAlign val="baseline"/>
        <sz val="14"/>
      </font>
      <alignment horizontal="center" vertical="center" textRotation="0" wrapText="0" indent="0" justifyLastLine="0" shrinkToFit="0" readingOrder="0"/>
      <border diagonalUp="0" diagonalDown="0" outline="0">
        <left/>
        <right style="medium">
          <color theme="1"/>
        </right>
        <top/>
        <bottom style="medium">
          <color theme="1"/>
        </bottom>
      </border>
    </dxf>
    <dxf>
      <font>
        <strike val="0"/>
        <outline val="0"/>
        <shadow val="0"/>
        <u val="none"/>
        <vertAlign val="baseline"/>
        <sz val="14"/>
      </font>
      <alignment horizontal="center" vertical="center" textRotation="0" wrapText="0" indent="0" justifyLastLine="0" shrinkToFit="0" readingOrder="0"/>
      <border diagonalUp="0" diagonalDown="0" outline="0">
        <left style="medium">
          <color theme="1"/>
        </left>
        <right/>
        <top/>
        <bottom style="medium">
          <color theme="1"/>
        </bottom>
      </border>
    </dxf>
    <dxf>
      <font>
        <b/>
        <i val="0"/>
        <strike val="0"/>
        <condense val="0"/>
        <extend val="0"/>
        <outline val="0"/>
        <shadow val="0"/>
        <u val="none"/>
        <vertAlign val="baseline"/>
        <sz val="14"/>
        <color theme="1"/>
        <name val="Calibri"/>
        <family val="2"/>
        <scheme val="minor"/>
      </font>
      <fill>
        <patternFill patternType="solid">
          <fgColor indexed="64"/>
          <bgColor theme="4" tint="0.79998168889431442"/>
        </patternFill>
      </fill>
      <alignment horizontal="center" vertical="center" textRotation="0" wrapText="0" indent="0" justifyLastLine="0" shrinkToFit="0" readingOrder="0"/>
    </dxf>
    <dxf>
      <font>
        <strike val="0"/>
        <outline val="0"/>
        <shadow val="0"/>
        <u val="none"/>
        <vertAlign val="baseline"/>
        <sz val="14"/>
      </font>
    </dxf>
    <dxf>
      <border outline="0">
        <left style="medium">
          <color theme="1"/>
        </left>
        <right style="medium">
          <color theme="1"/>
        </right>
        <top style="medium">
          <color theme="1"/>
        </top>
        <bottom style="medium">
          <color theme="1"/>
        </bottom>
      </border>
    </dxf>
    <dxf>
      <font>
        <strike val="0"/>
        <outline val="0"/>
        <shadow val="0"/>
        <u val="none"/>
        <vertAlign val="baseline"/>
        <sz val="14"/>
      </font>
    </dxf>
    <dxf>
      <border outline="0">
        <bottom style="medium">
          <color theme="1"/>
        </bottom>
      </border>
    </dxf>
    <dxf>
      <font>
        <b/>
        <i val="0"/>
        <strike val="0"/>
        <condense val="0"/>
        <extend val="0"/>
        <outline val="0"/>
        <shadow val="0"/>
        <u val="none"/>
        <vertAlign val="baseline"/>
        <sz val="14"/>
        <color theme="1"/>
        <name val="Calibri"/>
        <family val="2"/>
        <scheme val="minor"/>
      </font>
      <fill>
        <patternFill patternType="solid">
          <fgColor indexed="64"/>
          <bgColor rgb="FF309DFF"/>
        </patternFill>
      </fill>
      <alignment horizontal="center" vertical="bottom" textRotation="0" wrapText="0" indent="0" justifyLastLine="0" shrinkToFit="0" readingOrder="0"/>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
      <border>
        <bottom style="thin">
          <color theme="7" tint="0.39994506668294322"/>
        </bottom>
        <vertical/>
        <horizontal/>
      </border>
    </dxf>
  </dxfs>
  <tableStyles count="0" defaultTableStyle="TableStyleMedium2" defaultPivotStyle="PivotStyleLight16"/>
  <colors>
    <mruColors>
      <color rgb="FF0853D1"/>
      <color rgb="FF2B98FD"/>
      <color rgb="FFA9D08E"/>
      <color rgb="FFFFEC83"/>
      <color rgb="FF7F89D1"/>
      <color rgb="FF61BD7A"/>
      <color rgb="FFB739FF"/>
      <color rgb="FFF9696B"/>
      <color rgb="FFF9CCA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bg2"/>
                </a:solidFill>
                <a:latin typeface="+mj-lt"/>
                <a:ea typeface="+mj-ea"/>
                <a:cs typeface="+mj-cs"/>
              </a:defRPr>
            </a:pPr>
            <a:r>
              <a:rPr lang="en-GB">
                <a:solidFill>
                  <a:schemeClr val="bg2"/>
                </a:solidFill>
              </a:rPr>
              <a:t>Required points/coins</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bg2"/>
              </a:solidFill>
              <a:latin typeface="+mj-lt"/>
              <a:ea typeface="+mj-ea"/>
              <a:cs typeface="+mj-cs"/>
            </a:defRPr>
          </a:pPr>
          <a:endParaRPr lang="en-US"/>
        </a:p>
      </c:txPr>
    </c:title>
    <c:autoTitleDeleted val="0"/>
    <c:plotArea>
      <c:layout/>
      <c:areaChart>
        <c:grouping val="standard"/>
        <c:varyColors val="0"/>
        <c:ser>
          <c:idx val="1"/>
          <c:order val="0"/>
          <c:tx>
            <c:v>Coins</c:v>
          </c:tx>
          <c:spPr>
            <a:gradFill flip="none" rotWithShape="1">
              <a:gsLst>
                <a:gs pos="0">
                  <a:schemeClr val="accent4">
                    <a:lumMod val="69000"/>
                    <a:lumOff val="31000"/>
                  </a:schemeClr>
                </a:gs>
                <a:gs pos="41000">
                  <a:srgbClr val="FFC000"/>
                </a:gs>
                <a:gs pos="100000">
                  <a:schemeClr val="accent2"/>
                </a:gs>
              </a:gsLst>
              <a:path path="shape">
                <a:fillToRect l="50000" t="50000" r="50000" b="50000"/>
              </a:path>
              <a:tileRect/>
            </a:gradFill>
            <a:ln w="38100">
              <a:solidFill>
                <a:schemeClr val="tx1"/>
              </a:solidFill>
            </a:ln>
            <a:effectLst/>
          </c:spPr>
          <c:cat>
            <c:strRef>
              <c:f>Sheet1!$A$2:$A$33</c:f>
              <c:strCache>
                <c:ptCount val="32"/>
                <c:pt idx="0">
                  <c:v>Shelly</c:v>
                </c:pt>
                <c:pt idx="1">
                  <c:v>Jessie</c:v>
                </c:pt>
                <c:pt idx="2">
                  <c:v>Brock</c:v>
                </c:pt>
                <c:pt idx="3">
                  <c:v>Dyna</c:v>
                </c:pt>
                <c:pt idx="4">
                  <c:v>Primo</c:v>
                </c:pt>
                <c:pt idx="5">
                  <c:v>Poco</c:v>
                </c:pt>
                <c:pt idx="6">
                  <c:v>Rosa</c:v>
                </c:pt>
                <c:pt idx="7">
                  <c:v>Piper</c:v>
                </c:pt>
                <c:pt idx="8">
                  <c:v>Bibi</c:v>
                </c:pt>
                <c:pt idx="9">
                  <c:v>Gene</c:v>
                </c:pt>
                <c:pt idx="10">
                  <c:v>Spike</c:v>
                </c:pt>
                <c:pt idx="11">
                  <c:v>Sandy</c:v>
                </c:pt>
                <c:pt idx="12">
                  <c:v>Nita</c:v>
                </c:pt>
                <c:pt idx="13">
                  <c:v>Bo</c:v>
                </c:pt>
                <c:pt idx="14">
                  <c:v>Tick</c:v>
                </c:pt>
                <c:pt idx="15">
                  <c:v>Rico</c:v>
                </c:pt>
                <c:pt idx="16">
                  <c:v>Darryl</c:v>
                </c:pt>
                <c:pt idx="17">
                  <c:v>Pam</c:v>
                </c:pt>
                <c:pt idx="18">
                  <c:v>Colt</c:v>
                </c:pt>
                <c:pt idx="19">
                  <c:v>Bull</c:v>
                </c:pt>
                <c:pt idx="20">
                  <c:v>8-Bit</c:v>
                </c:pt>
                <c:pt idx="21">
                  <c:v>Emz</c:v>
                </c:pt>
                <c:pt idx="22">
                  <c:v>Barley</c:v>
                </c:pt>
                <c:pt idx="23">
                  <c:v>Penny</c:v>
                </c:pt>
                <c:pt idx="24">
                  <c:v>Carl</c:v>
                </c:pt>
                <c:pt idx="25">
                  <c:v>Frank</c:v>
                </c:pt>
                <c:pt idx="26">
                  <c:v>Bea</c:v>
                </c:pt>
                <c:pt idx="27">
                  <c:v>Mortis</c:v>
                </c:pt>
                <c:pt idx="28">
                  <c:v>Tara</c:v>
                </c:pt>
                <c:pt idx="29">
                  <c:v>Crow</c:v>
                </c:pt>
                <c:pt idx="30">
                  <c:v>Leon</c:v>
                </c:pt>
                <c:pt idx="31">
                  <c:v>Max</c:v>
                </c:pt>
              </c:strCache>
            </c:strRef>
          </c:cat>
          <c:val>
            <c:numRef>
              <c:f>Sheet1!$D$2:$D$33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1250</c:v>
                </c:pt>
                <c:pt idx="19">
                  <c:v>1250</c:v>
                </c:pt>
                <c:pt idx="20">
                  <c:v>1250</c:v>
                </c:pt>
                <c:pt idx="21">
                  <c:v>1250</c:v>
                </c:pt>
                <c:pt idx="22">
                  <c:v>1250</c:v>
                </c:pt>
                <c:pt idx="23">
                  <c:v>1250</c:v>
                </c:pt>
                <c:pt idx="24">
                  <c:v>1250</c:v>
                </c:pt>
                <c:pt idx="25">
                  <c:v>1250</c:v>
                </c:pt>
                <c:pt idx="26">
                  <c:v>1250</c:v>
                </c:pt>
                <c:pt idx="27">
                  <c:v>1250</c:v>
                </c:pt>
                <c:pt idx="28">
                  <c:v>1250</c:v>
                </c:pt>
                <c:pt idx="29">
                  <c:v>1250</c:v>
                </c:pt>
                <c:pt idx="30">
                  <c:v>1250</c:v>
                </c:pt>
                <c:pt idx="31">
                  <c:v>3070</c:v>
                </c:pt>
              </c:numCache>
            </c:numRef>
          </c:val>
          <c:extLst>
            <c:ext xmlns:c16="http://schemas.microsoft.com/office/drawing/2014/chart" uri="{C3380CC4-5D6E-409C-BE32-E72D297353CC}">
              <c16:uniqueId val="{00000001-DB4D-1F43-B16F-4127C5C075C9}"/>
            </c:ext>
          </c:extLst>
        </c:ser>
        <c:ser>
          <c:idx val="0"/>
          <c:order val="1"/>
          <c:tx>
            <c:v>Power Points</c:v>
          </c:tx>
          <c:spPr>
            <a:gradFill flip="none" rotWithShape="1">
              <a:gsLst>
                <a:gs pos="0">
                  <a:srgbClr val="B091D1"/>
                </a:gs>
                <a:gs pos="41000">
                  <a:srgbClr val="B739FF"/>
                </a:gs>
                <a:gs pos="100000">
                  <a:srgbClr val="7030A0"/>
                </a:gs>
              </a:gsLst>
              <a:path path="rect">
                <a:fillToRect l="100000" t="100000"/>
              </a:path>
              <a:tileRect r="-100000" b="-100000"/>
            </a:gradFill>
            <a:ln w="38100">
              <a:solidFill>
                <a:schemeClr val="tx1"/>
              </a:solidFill>
            </a:ln>
            <a:effectLst/>
          </c:spPr>
          <c:cat>
            <c:strRef>
              <c:f>Sheet1!$A$2:$A$33</c:f>
              <c:strCache>
                <c:ptCount val="32"/>
                <c:pt idx="0">
                  <c:v>Shelly</c:v>
                </c:pt>
                <c:pt idx="1">
                  <c:v>Jessie</c:v>
                </c:pt>
                <c:pt idx="2">
                  <c:v>Brock</c:v>
                </c:pt>
                <c:pt idx="3">
                  <c:v>Dyna</c:v>
                </c:pt>
                <c:pt idx="4">
                  <c:v>Primo</c:v>
                </c:pt>
                <c:pt idx="5">
                  <c:v>Poco</c:v>
                </c:pt>
                <c:pt idx="6">
                  <c:v>Rosa</c:v>
                </c:pt>
                <c:pt idx="7">
                  <c:v>Piper</c:v>
                </c:pt>
                <c:pt idx="8">
                  <c:v>Bibi</c:v>
                </c:pt>
                <c:pt idx="9">
                  <c:v>Gene</c:v>
                </c:pt>
                <c:pt idx="10">
                  <c:v>Spike</c:v>
                </c:pt>
                <c:pt idx="11">
                  <c:v>Sandy</c:v>
                </c:pt>
                <c:pt idx="12">
                  <c:v>Nita</c:v>
                </c:pt>
                <c:pt idx="13">
                  <c:v>Bo</c:v>
                </c:pt>
                <c:pt idx="14">
                  <c:v>Tick</c:v>
                </c:pt>
                <c:pt idx="15">
                  <c:v>Rico</c:v>
                </c:pt>
                <c:pt idx="16">
                  <c:v>Darryl</c:v>
                </c:pt>
                <c:pt idx="17">
                  <c:v>Pam</c:v>
                </c:pt>
                <c:pt idx="18">
                  <c:v>Colt</c:v>
                </c:pt>
                <c:pt idx="19">
                  <c:v>Bull</c:v>
                </c:pt>
                <c:pt idx="20">
                  <c:v>8-Bit</c:v>
                </c:pt>
                <c:pt idx="21">
                  <c:v>Emz</c:v>
                </c:pt>
                <c:pt idx="22">
                  <c:v>Barley</c:v>
                </c:pt>
                <c:pt idx="23">
                  <c:v>Penny</c:v>
                </c:pt>
                <c:pt idx="24">
                  <c:v>Carl</c:v>
                </c:pt>
                <c:pt idx="25">
                  <c:v>Frank</c:v>
                </c:pt>
                <c:pt idx="26">
                  <c:v>Bea</c:v>
                </c:pt>
                <c:pt idx="27">
                  <c:v>Mortis</c:v>
                </c:pt>
                <c:pt idx="28">
                  <c:v>Tara</c:v>
                </c:pt>
                <c:pt idx="29">
                  <c:v>Crow</c:v>
                </c:pt>
                <c:pt idx="30">
                  <c:v>Leon</c:v>
                </c:pt>
                <c:pt idx="31">
                  <c:v>Max</c:v>
                </c:pt>
              </c:strCache>
            </c:strRef>
          </c:cat>
          <c:val>
            <c:numRef>
              <c:f>Sheet1!$G$2:$G$33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1410</c:v>
                </c:pt>
              </c:numCache>
            </c:numRef>
          </c:val>
          <c:extLst>
            <c:ext xmlns:c16="http://schemas.microsoft.com/office/drawing/2014/chart" uri="{C3380CC4-5D6E-409C-BE32-E72D297353CC}">
              <c16:uniqueId val="{00000002-DB4D-1F43-B16F-4127C5C075C9}"/>
            </c:ext>
          </c:extLst>
        </c:ser>
        <c:dLbls>
          <c:showLegendKey val="0"/>
          <c:showVal val="0"/>
          <c:showCatName val="0"/>
          <c:showSerName val="0"/>
          <c:showPercent val="0"/>
          <c:showBubbleSize val="0"/>
        </c:dLbls>
        <c:axId val="958534272"/>
        <c:axId val="959537184"/>
      </c:areaChart>
      <c:catAx>
        <c:axId val="95853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cap="none" spc="0" normalizeH="0" baseline="0">
                <a:solidFill>
                  <a:schemeClr val="bg2"/>
                </a:solidFill>
                <a:latin typeface="+mn-lt"/>
                <a:ea typeface="+mn-ea"/>
                <a:cs typeface="+mn-cs"/>
              </a:defRPr>
            </a:pPr>
            <a:endParaRPr lang="en-US"/>
          </a:p>
        </c:txPr>
        <c:crossAx val="959537184"/>
        <c:crosses val="autoZero"/>
        <c:auto val="1"/>
        <c:lblAlgn val="ctr"/>
        <c:lblOffset val="100"/>
        <c:noMultiLvlLbl val="0"/>
      </c:catAx>
      <c:valAx>
        <c:axId val="959537184"/>
        <c:scaling>
          <c:orientation val="minMax"/>
          <c:max val="3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95853427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21682</xdr:colOff>
      <xdr:row>12</xdr:row>
      <xdr:rowOff>0</xdr:rowOff>
    </xdr:from>
    <xdr:to>
      <xdr:col>15</xdr:col>
      <xdr:colOff>979713</xdr:colOff>
      <xdr:row>34</xdr:row>
      <xdr:rowOff>0</xdr:rowOff>
    </xdr:to>
    <xdr:graphicFrame macro="">
      <xdr:nvGraphicFramePr>
        <xdr:cNvPr id="2" name="Chart 1">
          <a:extLst>
            <a:ext uri="{FF2B5EF4-FFF2-40B4-BE49-F238E27FC236}">
              <a16:creationId xmlns:a16="http://schemas.microsoft.com/office/drawing/2014/main" id="{1F917E00-BBD9-B14A-BF60-0DFF44DAC0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16934</xdr:colOff>
      <xdr:row>2</xdr:row>
      <xdr:rowOff>16933</xdr:rowOff>
    </xdr:from>
    <xdr:to>
      <xdr:col>10</xdr:col>
      <xdr:colOff>812800</xdr:colOff>
      <xdr:row>3</xdr:row>
      <xdr:rowOff>226448</xdr:rowOff>
    </xdr:to>
    <xdr:pic macro="[0]!SortInTable">
      <xdr:nvPicPr>
        <xdr:cNvPr id="6" name="Picture 5" descr="Image result for sort button">
          <a:extLst>
            <a:ext uri="{FF2B5EF4-FFF2-40B4-BE49-F238E27FC236}">
              <a16:creationId xmlns:a16="http://schemas.microsoft.com/office/drawing/2014/main" id="{D49F4001-4020-A14B-B065-1E18CD53EA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12401" y="508000"/>
          <a:ext cx="1625599" cy="4465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7A9BDC-F167-BA4E-A4E7-06AF92739263}" name="Chart" displayName="Chart" ref="A1:G34" totalsRowShown="0" headerRowDxfId="10" dataDxfId="8" headerRowBorderDxfId="9" tableBorderDxfId="7">
  <autoFilter ref="A1:G34" xr:uid="{577FCA85-A256-DA48-A7CC-ED6A08023E4D}"/>
  <sortState xmlns:xlrd2="http://schemas.microsoft.com/office/spreadsheetml/2017/richdata2" ref="A2:G34">
    <sortCondition descending="1" ref="C2:C34"/>
  </sortState>
  <tableColumns count="7">
    <tableColumn id="1" xr3:uid="{03F33D7E-0D0E-D74A-BC8C-1F24888DE3DF}" name="Brawler" dataDxfId="6"/>
    <tableColumn id="7" xr3:uid="{9DBA8DBD-98E8-B449-92E4-188405899EB2}" name="Rank" dataDxfId="5"/>
    <tableColumn id="2" xr3:uid="{F9329E76-B32B-1043-970C-8031994A4181}" name="Level" dataDxfId="4"/>
    <tableColumn id="3" xr3:uid="{1220EFD2-68A5-1A40-ABC5-BBF3A4822D0F}" name="coins left" dataDxfId="3"/>
    <tableColumn id="4" xr3:uid="{5FC9F413-AC37-5F42-BE8C-E35AFC48C026}" name="Score" dataDxfId="2"/>
    <tableColumn id="5" xr3:uid="{898E54BF-15C9-6949-8CD2-33EE8CED29A0}" name="total points" dataDxfId="1"/>
    <tableColumn id="6" xr3:uid="{FA262FC7-B80C-1B4B-8432-733C3882FD51}" name="remaing "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1CF53-2324-E04C-A124-F4C183615108}">
  <sheetPr codeName="Sheet1"/>
  <dimension ref="A1:AG91"/>
  <sheetViews>
    <sheetView tabSelected="1" zoomScale="75" workbookViewId="0">
      <selection activeCell="E25" sqref="E25"/>
    </sheetView>
  </sheetViews>
  <sheetFormatPr baseColWidth="10" defaultRowHeight="16" x14ac:dyDescent="0.2"/>
  <cols>
    <col min="1" max="1" width="17.1640625" customWidth="1"/>
    <col min="2" max="2" width="3.83203125" customWidth="1"/>
    <col min="3" max="3" width="13.33203125" customWidth="1"/>
    <col min="4" max="4" width="18.6640625" customWidth="1"/>
    <col min="5" max="5" width="19.33203125" customWidth="1"/>
    <col min="6" max="6" width="20.6640625" customWidth="1"/>
    <col min="7" max="7" width="19.1640625" customWidth="1"/>
    <col min="8" max="8" width="15.5" customWidth="1"/>
    <col min="13" max="13" width="16" customWidth="1"/>
    <col min="14" max="14" width="13.83203125" customWidth="1"/>
    <col min="15" max="15" width="15.5" customWidth="1"/>
    <col min="16" max="16" width="12.83203125" customWidth="1"/>
    <col min="17" max="17" width="13.5" customWidth="1"/>
    <col min="18" max="18" width="12" customWidth="1"/>
  </cols>
  <sheetData>
    <row r="1" spans="1:33" ht="18" customHeight="1" thickBot="1" x14ac:dyDescent="0.3">
      <c r="A1" s="49" t="s">
        <v>51</v>
      </c>
      <c r="B1" s="49" t="s">
        <v>66</v>
      </c>
      <c r="C1" s="4" t="s">
        <v>68</v>
      </c>
      <c r="D1" s="5" t="s">
        <v>31</v>
      </c>
      <c r="E1" s="6" t="s">
        <v>67</v>
      </c>
      <c r="F1" s="4" t="s">
        <v>30</v>
      </c>
      <c r="G1" s="6" t="s">
        <v>32</v>
      </c>
      <c r="H1" s="102" t="s">
        <v>43</v>
      </c>
      <c r="I1" s="103"/>
      <c r="J1" s="82" t="s">
        <v>64</v>
      </c>
      <c r="K1" s="82"/>
      <c r="L1" s="12" t="s">
        <v>29</v>
      </c>
      <c r="M1" s="13" t="s">
        <v>48</v>
      </c>
      <c r="N1" s="13" t="s">
        <v>30</v>
      </c>
      <c r="O1" s="13" t="s">
        <v>49</v>
      </c>
      <c r="P1" s="14" t="s">
        <v>35</v>
      </c>
      <c r="Q1" s="7"/>
      <c r="R1" s="2"/>
      <c r="S1" s="2"/>
      <c r="T1" s="2"/>
      <c r="U1" s="2"/>
      <c r="V1" s="2"/>
      <c r="W1" s="2"/>
      <c r="X1" s="2"/>
      <c r="Y1" s="2"/>
      <c r="Z1" s="2"/>
      <c r="AA1" s="2"/>
      <c r="AB1" s="69"/>
      <c r="AC1" s="69"/>
      <c r="AD1" s="69"/>
      <c r="AE1" s="69"/>
      <c r="AF1" s="69"/>
      <c r="AG1" s="69"/>
    </row>
    <row r="2" spans="1:33" ht="20" customHeight="1" x14ac:dyDescent="0.25">
      <c r="A2" s="56" t="s">
        <v>21</v>
      </c>
      <c r="B2" s="57">
        <v>1</v>
      </c>
      <c r="C2" s="11">
        <v>10</v>
      </c>
      <c r="D2" s="9">
        <f>VLOOKUP(C2,$L$2:$P$12,5,FALSE)</f>
        <v>0</v>
      </c>
      <c r="E2" s="10">
        <v>0</v>
      </c>
      <c r="F2" s="8">
        <f>VLOOKUP(C2,$L$2:$N$12,3,FALSE)+E2</f>
        <v>1410</v>
      </c>
      <c r="G2" s="11">
        <f>1410-F2</f>
        <v>0</v>
      </c>
      <c r="H2" s="16" t="s">
        <v>55</v>
      </c>
      <c r="I2" s="17">
        <f>COUNTIF(C2:C33,"&lt;&gt;0")</f>
        <v>31</v>
      </c>
      <c r="J2" s="82" t="s">
        <v>65</v>
      </c>
      <c r="K2" s="82"/>
      <c r="L2" s="64">
        <v>0</v>
      </c>
      <c r="M2" s="65">
        <v>0</v>
      </c>
      <c r="N2" s="65">
        <v>0</v>
      </c>
      <c r="O2" s="65">
        <v>0</v>
      </c>
      <c r="P2" s="66">
        <v>3070</v>
      </c>
      <c r="Q2" s="7"/>
      <c r="R2" s="2"/>
      <c r="S2" s="2"/>
      <c r="T2" s="2"/>
      <c r="U2" s="2"/>
      <c r="V2" s="2"/>
      <c r="W2" s="2"/>
      <c r="X2" s="2"/>
      <c r="Y2" s="2"/>
      <c r="Z2" s="2"/>
      <c r="AA2" s="2"/>
      <c r="AB2" s="69"/>
      <c r="AC2" s="69"/>
      <c r="AD2" s="69"/>
      <c r="AE2" s="69"/>
      <c r="AF2" s="69"/>
      <c r="AG2" s="69"/>
    </row>
    <row r="3" spans="1:33" ht="19" x14ac:dyDescent="0.25">
      <c r="A3" s="34" t="s">
        <v>22</v>
      </c>
      <c r="B3" s="58">
        <v>5</v>
      </c>
      <c r="C3" s="11">
        <v>10</v>
      </c>
      <c r="D3" s="9">
        <f>VLOOKUP(C3,$L$2:$P$12,5,FALSE)</f>
        <v>0</v>
      </c>
      <c r="E3" s="15">
        <v>0</v>
      </c>
      <c r="F3" s="8">
        <f>VLOOKUP(C3,$L$2:$N$12,3,FALSE)+E3</f>
        <v>1410</v>
      </c>
      <c r="G3" s="11">
        <f>1410-F3</f>
        <v>0</v>
      </c>
      <c r="H3" s="22" t="s">
        <v>36</v>
      </c>
      <c r="I3" s="17">
        <f>COUNTIF(C1:C33,"&gt;8")</f>
        <v>18</v>
      </c>
      <c r="K3" s="75"/>
      <c r="L3" s="64">
        <v>1</v>
      </c>
      <c r="M3" s="65">
        <v>0</v>
      </c>
      <c r="N3" s="65">
        <v>0</v>
      </c>
      <c r="O3" s="65">
        <v>0</v>
      </c>
      <c r="P3" s="66">
        <f t="shared" ref="P3:P9" si="0">P4+O3</f>
        <v>3070</v>
      </c>
      <c r="Q3" s="7"/>
      <c r="R3" s="2"/>
      <c r="S3" s="2"/>
      <c r="T3" s="2"/>
      <c r="U3" s="2"/>
      <c r="V3" s="2"/>
      <c r="W3" s="2"/>
      <c r="X3" s="2"/>
      <c r="Y3" s="2"/>
      <c r="Z3" s="2"/>
      <c r="AA3" s="2"/>
      <c r="AB3" s="69"/>
      <c r="AC3" s="69"/>
      <c r="AD3" s="69"/>
      <c r="AE3" s="69"/>
      <c r="AF3" s="69"/>
      <c r="AG3" s="69"/>
    </row>
    <row r="4" spans="1:33" ht="20" thickBot="1" x14ac:dyDescent="0.3">
      <c r="A4" s="34" t="s">
        <v>15</v>
      </c>
      <c r="B4" s="58">
        <v>6</v>
      </c>
      <c r="C4" s="11">
        <v>10</v>
      </c>
      <c r="D4" s="9">
        <f>VLOOKUP(C4,$L$2:$P$12,5,FALSE)</f>
        <v>0</v>
      </c>
      <c r="E4" s="15">
        <v>0</v>
      </c>
      <c r="F4" s="8">
        <f>VLOOKUP(C4,$L$2:$N$12,3,FALSE)+E4</f>
        <v>1410</v>
      </c>
      <c r="G4" s="11">
        <f>1410-F4</f>
        <v>0</v>
      </c>
      <c r="H4" s="25" t="s">
        <v>34</v>
      </c>
      <c r="I4" s="27">
        <f>COUNT(D2:D33)</f>
        <v>32</v>
      </c>
      <c r="J4" s="74"/>
      <c r="K4" s="75"/>
      <c r="L4" s="18">
        <v>2</v>
      </c>
      <c r="M4" s="19">
        <v>20</v>
      </c>
      <c r="N4" s="20">
        <v>20</v>
      </c>
      <c r="O4" s="19">
        <v>35</v>
      </c>
      <c r="P4" s="21">
        <f t="shared" si="0"/>
        <v>3070</v>
      </c>
      <c r="Q4" s="7"/>
      <c r="R4" s="2"/>
      <c r="S4" s="2"/>
      <c r="T4" s="2"/>
      <c r="U4" s="2"/>
      <c r="V4" s="2"/>
      <c r="W4" s="2"/>
      <c r="X4" s="2"/>
      <c r="Y4" s="2"/>
      <c r="Z4" s="2"/>
      <c r="AA4" s="2"/>
      <c r="AB4" s="69"/>
      <c r="AC4" s="69"/>
      <c r="AD4" s="69"/>
      <c r="AE4" s="69"/>
      <c r="AF4" s="69"/>
      <c r="AG4" s="69"/>
    </row>
    <row r="5" spans="1:33" ht="19" x14ac:dyDescent="0.25">
      <c r="A5" s="34" t="s">
        <v>18</v>
      </c>
      <c r="B5" s="58">
        <v>7</v>
      </c>
      <c r="C5" s="11">
        <v>10</v>
      </c>
      <c r="D5" s="9">
        <f>VLOOKUP(C5,$L$2:$P$12,5,FALSE)</f>
        <v>0</v>
      </c>
      <c r="E5" s="15">
        <v>0</v>
      </c>
      <c r="F5" s="8">
        <f>VLOOKUP(C5,$L$2:$N$12,3,FALSE)+E5</f>
        <v>1410</v>
      </c>
      <c r="G5" s="11">
        <f>1410-F5</f>
        <v>0</v>
      </c>
      <c r="H5" s="68" t="s">
        <v>42</v>
      </c>
      <c r="I5" s="70" t="s">
        <v>41</v>
      </c>
      <c r="J5" s="77" t="s">
        <v>33</v>
      </c>
      <c r="K5" s="78" t="s">
        <v>70</v>
      </c>
      <c r="L5" s="18">
        <v>3</v>
      </c>
      <c r="M5" s="19">
        <v>30</v>
      </c>
      <c r="N5" s="19">
        <f>N4+M5</f>
        <v>50</v>
      </c>
      <c r="O5" s="19">
        <v>75</v>
      </c>
      <c r="P5" s="21">
        <f t="shared" si="0"/>
        <v>3035</v>
      </c>
      <c r="Q5" s="7"/>
      <c r="R5" s="2"/>
      <c r="S5" s="2"/>
      <c r="T5" s="2"/>
      <c r="U5" s="2"/>
      <c r="V5" s="2"/>
      <c r="W5" s="2"/>
      <c r="X5" s="2"/>
      <c r="Y5" s="2"/>
      <c r="Z5" s="2"/>
      <c r="AA5" s="2"/>
      <c r="AB5" s="69"/>
      <c r="AC5" s="69"/>
      <c r="AD5" s="69"/>
      <c r="AE5" s="69"/>
      <c r="AF5" s="69"/>
      <c r="AG5" s="69"/>
    </row>
    <row r="6" spans="1:33" ht="20" thickBot="1" x14ac:dyDescent="0.3">
      <c r="A6" s="50" t="s">
        <v>12</v>
      </c>
      <c r="B6" s="59">
        <v>12</v>
      </c>
      <c r="C6" s="11">
        <v>10</v>
      </c>
      <c r="D6" s="9">
        <f>VLOOKUP(C6,$L$2:$P$12,5,FALSE)</f>
        <v>0</v>
      </c>
      <c r="E6" s="15">
        <v>0</v>
      </c>
      <c r="F6" s="8">
        <f>VLOOKUP(C6,$L$2:$N$12,3,FALSE)+E6</f>
        <v>1410</v>
      </c>
      <c r="G6" s="11">
        <f>1410-F6</f>
        <v>0</v>
      </c>
      <c r="H6" s="22" t="s">
        <v>39</v>
      </c>
      <c r="I6" s="23">
        <f>I10/23</f>
        <v>3592.608695652174</v>
      </c>
      <c r="J6" s="79">
        <f>J10/23</f>
        <v>706.52173913043475</v>
      </c>
      <c r="K6" s="81">
        <f>J10/(23+14*2)</f>
        <v>318.62745098039215</v>
      </c>
      <c r="L6" s="80">
        <v>4</v>
      </c>
      <c r="M6" s="19">
        <v>50</v>
      </c>
      <c r="N6" s="19">
        <f t="shared" ref="N6:N11" si="1">N5+M6</f>
        <v>100</v>
      </c>
      <c r="O6" s="19">
        <v>140</v>
      </c>
      <c r="P6" s="21">
        <f t="shared" si="0"/>
        <v>2960</v>
      </c>
      <c r="Q6" s="7"/>
      <c r="R6" s="2"/>
      <c r="S6" s="2"/>
      <c r="T6" s="2"/>
      <c r="U6" s="2"/>
      <c r="V6" s="2"/>
      <c r="W6" s="2"/>
      <c r="X6" s="2"/>
      <c r="Y6" s="2"/>
      <c r="Z6" s="2"/>
      <c r="AA6" s="2"/>
      <c r="AB6" s="69"/>
      <c r="AC6" s="69"/>
      <c r="AD6" s="69"/>
      <c r="AE6" s="69"/>
      <c r="AF6" s="69"/>
      <c r="AG6" s="69"/>
    </row>
    <row r="7" spans="1:33" ht="19" x14ac:dyDescent="0.25">
      <c r="A7" s="50" t="s">
        <v>13</v>
      </c>
      <c r="B7" s="59">
        <v>14</v>
      </c>
      <c r="C7" s="11">
        <v>10</v>
      </c>
      <c r="D7" s="9">
        <f>VLOOKUP(C7,$L$2:$P$12,5,FALSE)</f>
        <v>0</v>
      </c>
      <c r="E7" s="15">
        <v>0</v>
      </c>
      <c r="F7" s="8">
        <f>VLOOKUP(C7,$L$2:$N$12,3,FALSE)+E7</f>
        <v>1410</v>
      </c>
      <c r="G7" s="11">
        <f>1410-F7</f>
        <v>0</v>
      </c>
      <c r="H7" s="22" t="s">
        <v>40</v>
      </c>
      <c r="I7" s="24">
        <f>I11/14</f>
        <v>3122.1428571428573</v>
      </c>
      <c r="J7" s="17">
        <f>J11/14</f>
        <v>100.71428571428571</v>
      </c>
      <c r="K7" s="7"/>
      <c r="L7" s="18">
        <v>5</v>
      </c>
      <c r="M7" s="19">
        <v>80</v>
      </c>
      <c r="N7" s="19">
        <f t="shared" si="1"/>
        <v>180</v>
      </c>
      <c r="O7" s="19">
        <v>290</v>
      </c>
      <c r="P7" s="21">
        <f t="shared" si="0"/>
        <v>2820</v>
      </c>
      <c r="Q7" s="7"/>
      <c r="R7" s="2"/>
      <c r="S7" s="2"/>
      <c r="T7" s="2"/>
      <c r="U7" s="2"/>
      <c r="V7" s="2"/>
      <c r="W7" s="2"/>
      <c r="X7" s="2"/>
      <c r="Y7" s="2"/>
      <c r="Z7" s="2"/>
      <c r="AA7" s="2"/>
      <c r="AB7" s="69"/>
      <c r="AC7" s="69"/>
      <c r="AD7" s="69"/>
      <c r="AE7" s="69"/>
      <c r="AF7" s="69"/>
      <c r="AG7" s="69"/>
    </row>
    <row r="8" spans="1:33" ht="20" thickBot="1" x14ac:dyDescent="0.3">
      <c r="A8" s="50" t="s">
        <v>26</v>
      </c>
      <c r="B8" s="59">
        <v>15</v>
      </c>
      <c r="C8" s="11">
        <v>10</v>
      </c>
      <c r="D8" s="9">
        <f>VLOOKUP(C8,$L$2:$P$12,5,FALSE)</f>
        <v>0</v>
      </c>
      <c r="E8" s="15">
        <v>0</v>
      </c>
      <c r="F8" s="8">
        <f>VLOOKUP(C8,$L$2:$N$12,3,FALSE)+E8</f>
        <v>1410</v>
      </c>
      <c r="G8" s="11">
        <f>1410-F8</f>
        <v>0</v>
      </c>
      <c r="H8" s="25" t="s">
        <v>37</v>
      </c>
      <c r="I8" s="26">
        <f>AVERAGE(I6:I7)</f>
        <v>3357.3757763975154</v>
      </c>
      <c r="J8" s="27">
        <f>AVERAGE(J6:J7)</f>
        <v>403.61801242236021</v>
      </c>
      <c r="K8" s="7"/>
      <c r="L8" s="18">
        <v>6</v>
      </c>
      <c r="M8" s="19">
        <v>130</v>
      </c>
      <c r="N8" s="19">
        <f t="shared" si="1"/>
        <v>310</v>
      </c>
      <c r="O8" s="19">
        <v>480</v>
      </c>
      <c r="P8" s="21">
        <f t="shared" si="0"/>
        <v>2530</v>
      </c>
      <c r="Q8" s="7"/>
      <c r="R8" s="2"/>
      <c r="S8" s="2"/>
      <c r="T8" s="2"/>
      <c r="U8" s="2"/>
      <c r="V8" s="2"/>
      <c r="W8" s="2"/>
      <c r="X8" s="2"/>
      <c r="Y8" s="2"/>
      <c r="Z8" s="2"/>
      <c r="AA8" s="2"/>
      <c r="AB8" s="69"/>
      <c r="AC8" s="69"/>
      <c r="AD8" s="69"/>
      <c r="AE8" s="69"/>
      <c r="AF8" s="69"/>
      <c r="AG8" s="69"/>
    </row>
    <row r="9" spans="1:33" ht="19" x14ac:dyDescent="0.25">
      <c r="A9" s="52" t="s">
        <v>8</v>
      </c>
      <c r="B9" s="60">
        <v>20</v>
      </c>
      <c r="C9" s="11">
        <v>10</v>
      </c>
      <c r="D9" s="9">
        <f>VLOOKUP(C9,$L$2:$P$12,5,FALSE)</f>
        <v>0</v>
      </c>
      <c r="E9" s="15">
        <v>0</v>
      </c>
      <c r="F9" s="8">
        <f>VLOOKUP(C9,$L$2:$N$12,3,FALSE)+E9</f>
        <v>1410</v>
      </c>
      <c r="G9" s="11">
        <f>1410-F9</f>
        <v>0</v>
      </c>
      <c r="H9" s="47" t="s">
        <v>47</v>
      </c>
      <c r="I9" s="48" t="s">
        <v>45</v>
      </c>
      <c r="J9" s="48" t="s">
        <v>33</v>
      </c>
      <c r="K9" s="71" t="s">
        <v>46</v>
      </c>
      <c r="L9" s="18">
        <v>7</v>
      </c>
      <c r="M9" s="19">
        <v>210</v>
      </c>
      <c r="N9" s="19">
        <f t="shared" si="1"/>
        <v>520</v>
      </c>
      <c r="O9" s="19">
        <v>800</v>
      </c>
      <c r="P9" s="21">
        <f t="shared" si="0"/>
        <v>2050</v>
      </c>
      <c r="Q9" s="7"/>
      <c r="R9" s="2"/>
      <c r="S9" s="2"/>
      <c r="T9" s="2"/>
      <c r="U9" s="2"/>
      <c r="V9" s="2"/>
      <c r="W9" s="2"/>
      <c r="X9" s="2"/>
      <c r="Y9" s="2"/>
      <c r="Z9" s="2"/>
      <c r="AA9" s="2"/>
      <c r="AB9" s="69"/>
      <c r="AC9" s="69"/>
      <c r="AD9" s="69"/>
      <c r="AE9" s="69"/>
      <c r="AF9" s="69"/>
      <c r="AG9" s="69"/>
    </row>
    <row r="10" spans="1:33" ht="19" x14ac:dyDescent="0.25">
      <c r="A10" s="52" t="s">
        <v>28</v>
      </c>
      <c r="B10" s="60">
        <v>23</v>
      </c>
      <c r="C10" s="11">
        <v>10</v>
      </c>
      <c r="D10" s="9">
        <f>VLOOKUP(C10,$L$2:$P$12,5,FALSE)</f>
        <v>0</v>
      </c>
      <c r="E10" s="15">
        <v>0</v>
      </c>
      <c r="F10" s="8">
        <f>VLOOKUP(C10,$L$2:$N$12,3,FALSE)+E10</f>
        <v>1410</v>
      </c>
      <c r="G10" s="11">
        <f>1410-F10</f>
        <v>0</v>
      </c>
      <c r="H10" s="41" t="s">
        <v>39</v>
      </c>
      <c r="I10" s="42">
        <f>((3090*I4)-J10)</f>
        <v>82630</v>
      </c>
      <c r="J10" s="43">
        <f>SUM(D2:D32)</f>
        <v>16250</v>
      </c>
      <c r="K10" s="72">
        <f>(I10)/(3090*I4)</f>
        <v>0.83565938511326865</v>
      </c>
      <c r="L10" s="18">
        <v>8</v>
      </c>
      <c r="M10" s="19">
        <v>340</v>
      </c>
      <c r="N10" s="19">
        <f t="shared" si="1"/>
        <v>860</v>
      </c>
      <c r="O10" s="19">
        <v>1250</v>
      </c>
      <c r="P10" s="21">
        <f>P11+O10</f>
        <v>1250</v>
      </c>
      <c r="Q10" s="7"/>
      <c r="R10" s="2"/>
      <c r="S10" s="2"/>
      <c r="T10" s="2"/>
      <c r="U10" s="2"/>
      <c r="V10" s="2"/>
      <c r="W10" s="2"/>
      <c r="X10" s="2"/>
      <c r="Y10" s="2"/>
      <c r="Z10" s="2"/>
      <c r="AA10" s="2"/>
      <c r="AB10" s="69"/>
      <c r="AC10" s="69"/>
      <c r="AD10" s="69"/>
      <c r="AE10" s="69"/>
      <c r="AF10" s="69"/>
      <c r="AG10" s="69"/>
    </row>
    <row r="11" spans="1:33" ht="20" thickBot="1" x14ac:dyDescent="0.3">
      <c r="A11" s="53" t="s">
        <v>5</v>
      </c>
      <c r="B11" s="62">
        <v>27</v>
      </c>
      <c r="C11" s="11">
        <v>10</v>
      </c>
      <c r="D11" s="9">
        <f>VLOOKUP(C11,$L$2:$P$12,5,FALSE)</f>
        <v>0</v>
      </c>
      <c r="E11" s="15">
        <v>0</v>
      </c>
      <c r="F11" s="8">
        <f>VLOOKUP(C11,$L$2:$N$12,3,FALSE)+E11</f>
        <v>1410</v>
      </c>
      <c r="G11" s="11">
        <f>1410-F11</f>
        <v>0</v>
      </c>
      <c r="H11" s="44" t="s">
        <v>44</v>
      </c>
      <c r="I11" s="45">
        <f>SUM(F2:F33)</f>
        <v>43710</v>
      </c>
      <c r="J11" s="46">
        <f>SUM(G2:G33)</f>
        <v>1410</v>
      </c>
      <c r="K11" s="73">
        <f>I11/(1404*I4)</f>
        <v>0.97288995726495731</v>
      </c>
      <c r="L11" s="18">
        <v>9</v>
      </c>
      <c r="M11" s="19">
        <v>550</v>
      </c>
      <c r="N11" s="19">
        <f t="shared" si="1"/>
        <v>1410</v>
      </c>
      <c r="O11" s="19">
        <v>0</v>
      </c>
      <c r="P11" s="21">
        <v>0</v>
      </c>
      <c r="Q11" s="7"/>
      <c r="R11" s="2"/>
      <c r="S11" s="2"/>
      <c r="T11" s="2"/>
      <c r="U11" s="2"/>
      <c r="V11" s="2"/>
      <c r="W11" s="2"/>
      <c r="X11" s="2"/>
      <c r="Y11" s="2"/>
      <c r="Z11" s="2"/>
      <c r="AA11" s="2"/>
      <c r="AB11" s="69"/>
      <c r="AC11" s="69"/>
      <c r="AD11" s="69"/>
      <c r="AE11" s="69"/>
      <c r="AF11" s="69"/>
      <c r="AG11" s="69"/>
    </row>
    <row r="12" spans="1:33" ht="20" thickBot="1" x14ac:dyDescent="0.3">
      <c r="A12" s="51" t="s">
        <v>1</v>
      </c>
      <c r="B12" s="61">
        <v>29</v>
      </c>
      <c r="C12" s="11">
        <v>10</v>
      </c>
      <c r="D12" s="9">
        <f>VLOOKUP(C12,$L$2:$P$12,5,FALSE)</f>
        <v>0</v>
      </c>
      <c r="E12" s="15">
        <v>0</v>
      </c>
      <c r="F12" s="8">
        <f>VLOOKUP(C12,$L$2:$N$12,3,FALSE)+E12</f>
        <v>1410</v>
      </c>
      <c r="G12" s="11">
        <f>1410-F12</f>
        <v>0</v>
      </c>
      <c r="H12" s="44" t="s">
        <v>56</v>
      </c>
      <c r="I12" s="45">
        <f>SUM(I10,I11*2)</f>
        <v>170050</v>
      </c>
      <c r="J12" s="46">
        <f>SUM(J10,J11*2)</f>
        <v>19070</v>
      </c>
      <c r="K12" s="73">
        <f>I12/(1404*I4*2+3090*I4)</f>
        <v>0.90099398101051209</v>
      </c>
      <c r="L12" s="28">
        <v>10</v>
      </c>
      <c r="M12" s="29">
        <v>0</v>
      </c>
      <c r="N12" s="29">
        <v>1410</v>
      </c>
      <c r="O12" s="30">
        <v>0</v>
      </c>
      <c r="P12" s="31">
        <v>0</v>
      </c>
      <c r="Q12" s="7"/>
      <c r="R12" s="2"/>
      <c r="S12" s="2"/>
      <c r="T12" s="2"/>
      <c r="U12" s="2"/>
      <c r="V12" s="2"/>
      <c r="W12" s="2"/>
      <c r="X12" s="2"/>
      <c r="Y12" s="2"/>
      <c r="Z12" s="2"/>
      <c r="AA12" s="2"/>
      <c r="AB12" s="69"/>
      <c r="AC12" s="69"/>
      <c r="AD12" s="69"/>
      <c r="AE12" s="69"/>
      <c r="AF12" s="69"/>
      <c r="AG12" s="69"/>
    </row>
    <row r="13" spans="1:33" ht="19" x14ac:dyDescent="0.25">
      <c r="A13" s="51" t="s">
        <v>20</v>
      </c>
      <c r="B13" s="61">
        <v>32</v>
      </c>
      <c r="C13" s="11">
        <v>10</v>
      </c>
      <c r="D13" s="9">
        <f>VLOOKUP(C13,$L$2:$P$12,5,FALSE)</f>
        <v>0</v>
      </c>
      <c r="E13" s="15">
        <v>0</v>
      </c>
      <c r="F13" s="8">
        <f>VLOOKUP(C13,$L$2:$N$12,3,FALSE)+E13</f>
        <v>1410</v>
      </c>
      <c r="G13" s="11">
        <f>1410-F13</f>
        <v>0</v>
      </c>
      <c r="H13" s="7"/>
      <c r="I13" s="7"/>
      <c r="J13" s="7"/>
      <c r="K13" s="7"/>
      <c r="L13" s="7"/>
      <c r="M13" s="7"/>
      <c r="N13" s="7"/>
      <c r="O13" s="7"/>
      <c r="P13" s="7"/>
      <c r="Q13" s="7"/>
      <c r="R13" s="2"/>
      <c r="S13" s="2"/>
      <c r="T13" s="2"/>
      <c r="U13" s="2"/>
      <c r="V13" s="2"/>
      <c r="W13" s="2"/>
      <c r="X13" s="2"/>
      <c r="Y13" s="2"/>
      <c r="Z13" s="2"/>
      <c r="AA13" s="2"/>
      <c r="AB13" s="69"/>
      <c r="AC13" s="69"/>
      <c r="AD13" s="69"/>
      <c r="AE13" s="69"/>
      <c r="AF13" s="69"/>
      <c r="AG13" s="69"/>
    </row>
    <row r="14" spans="1:33" ht="19" x14ac:dyDescent="0.25">
      <c r="A14" s="34" t="s">
        <v>19</v>
      </c>
      <c r="B14" s="58">
        <v>2</v>
      </c>
      <c r="C14" s="11">
        <v>9</v>
      </c>
      <c r="D14" s="9">
        <f>VLOOKUP(C14,$L$2:$P$12,5,FALSE)</f>
        <v>0</v>
      </c>
      <c r="E14" s="15">
        <v>0</v>
      </c>
      <c r="F14" s="8">
        <f>VLOOKUP(C14,$L$2:$N$12,3,FALSE)+E14</f>
        <v>1410</v>
      </c>
      <c r="G14" s="11">
        <f>1410-F14</f>
        <v>0</v>
      </c>
      <c r="H14" s="7"/>
      <c r="I14" s="7"/>
      <c r="J14" s="7"/>
      <c r="K14" s="7"/>
      <c r="L14" s="7"/>
      <c r="M14" s="7"/>
      <c r="N14" s="7"/>
      <c r="O14" s="7"/>
      <c r="P14" s="7"/>
      <c r="Q14" s="7"/>
      <c r="R14" s="2"/>
      <c r="S14" s="2"/>
      <c r="T14" s="2"/>
      <c r="U14" s="2"/>
      <c r="V14" s="2"/>
      <c r="W14" s="2"/>
      <c r="X14" s="2"/>
      <c r="Y14" s="2"/>
      <c r="Z14" s="2"/>
      <c r="AA14" s="2"/>
      <c r="AB14" s="69"/>
      <c r="AC14" s="69"/>
      <c r="AD14" s="69"/>
      <c r="AE14" s="69"/>
      <c r="AF14" s="69"/>
      <c r="AG14" s="69"/>
    </row>
    <row r="15" spans="1:33" ht="19" x14ac:dyDescent="0.25">
      <c r="A15" s="34" t="s">
        <v>14</v>
      </c>
      <c r="B15" s="58">
        <v>8</v>
      </c>
      <c r="C15" s="11">
        <v>9</v>
      </c>
      <c r="D15" s="9">
        <f>VLOOKUP(C15,$L$2:$P$12,5,FALSE)</f>
        <v>0</v>
      </c>
      <c r="E15" s="15">
        <v>0</v>
      </c>
      <c r="F15" s="8">
        <f>VLOOKUP(C15,$L$2:$N$12,3,FALSE)+E15</f>
        <v>1410</v>
      </c>
      <c r="G15" s="11">
        <f>1410-F15</f>
        <v>0</v>
      </c>
      <c r="H15" s="7"/>
      <c r="I15" s="7"/>
      <c r="J15" s="7"/>
      <c r="K15" s="7"/>
      <c r="L15" s="7"/>
      <c r="M15" s="7"/>
      <c r="N15" s="7"/>
      <c r="O15" s="7"/>
      <c r="P15" s="7"/>
      <c r="Q15" s="7"/>
      <c r="R15" s="2"/>
      <c r="S15" s="2"/>
      <c r="T15" s="2"/>
      <c r="U15" s="2"/>
      <c r="V15" s="2"/>
      <c r="W15" s="2"/>
      <c r="X15" s="2"/>
      <c r="Y15" s="2"/>
      <c r="Z15" s="2"/>
      <c r="AA15" s="2"/>
      <c r="AB15" s="69"/>
      <c r="AC15" s="69"/>
      <c r="AD15" s="69"/>
      <c r="AE15" s="69"/>
      <c r="AF15" s="69"/>
      <c r="AG15" s="69"/>
    </row>
    <row r="16" spans="1:33" ht="19" x14ac:dyDescent="0.25">
      <c r="A16" s="34" t="s">
        <v>23</v>
      </c>
      <c r="B16" s="58">
        <v>9</v>
      </c>
      <c r="C16" s="11">
        <v>9</v>
      </c>
      <c r="D16" s="9">
        <f>VLOOKUP(C16,$L$2:$P$12,5,FALSE)</f>
        <v>0</v>
      </c>
      <c r="E16" s="15">
        <v>0</v>
      </c>
      <c r="F16" s="8">
        <f>VLOOKUP(C16,$L$2:$N$12,3,FALSE)+E16</f>
        <v>1410</v>
      </c>
      <c r="G16" s="11">
        <f>1410-F16</f>
        <v>0</v>
      </c>
      <c r="H16" s="7"/>
      <c r="I16" s="7"/>
      <c r="J16" s="7"/>
      <c r="K16" s="7"/>
      <c r="L16" s="7"/>
      <c r="M16" s="7"/>
      <c r="N16" s="7"/>
      <c r="O16" s="7"/>
      <c r="P16" s="32"/>
      <c r="Q16" s="7"/>
      <c r="R16" s="2"/>
      <c r="S16" s="2"/>
      <c r="T16" s="2"/>
      <c r="U16" s="2"/>
      <c r="V16" s="2"/>
      <c r="W16" s="2"/>
      <c r="X16" s="2"/>
      <c r="Y16" s="2"/>
      <c r="Z16" s="2"/>
      <c r="AA16" s="2"/>
      <c r="AB16" s="69"/>
      <c r="AC16" s="69"/>
      <c r="AD16" s="69"/>
      <c r="AE16" s="69"/>
      <c r="AF16" s="69"/>
      <c r="AG16" s="69"/>
    </row>
    <row r="17" spans="1:33" ht="19" x14ac:dyDescent="0.25">
      <c r="A17" s="54" t="s">
        <v>11</v>
      </c>
      <c r="B17" s="63">
        <v>16</v>
      </c>
      <c r="C17" s="11">
        <v>9</v>
      </c>
      <c r="D17" s="9">
        <f>VLOOKUP(C17,$L$2:$P$12,5,FALSE)</f>
        <v>0</v>
      </c>
      <c r="E17" s="15">
        <v>0</v>
      </c>
      <c r="F17" s="8">
        <f>VLOOKUP(C17,$L$2:$N$12,3,FALSE)+E17</f>
        <v>1410</v>
      </c>
      <c r="G17" s="11">
        <f>1410-F17</f>
        <v>0</v>
      </c>
      <c r="H17" s="7"/>
      <c r="I17" s="7"/>
      <c r="J17" s="7"/>
      <c r="K17" s="7"/>
      <c r="L17" s="7"/>
      <c r="M17" s="7"/>
      <c r="N17" s="7"/>
      <c r="O17" s="7"/>
      <c r="P17" s="7"/>
      <c r="Q17" s="7"/>
      <c r="R17" s="2"/>
      <c r="S17" s="2"/>
      <c r="T17" s="2"/>
      <c r="U17" s="2"/>
      <c r="V17" s="2"/>
      <c r="W17" s="2"/>
      <c r="X17" s="2"/>
      <c r="Y17" s="2"/>
      <c r="Z17" s="2"/>
      <c r="AA17" s="2"/>
      <c r="AB17" s="69"/>
      <c r="AC17" s="69"/>
      <c r="AD17" s="69"/>
      <c r="AE17" s="69"/>
      <c r="AF17" s="69"/>
      <c r="AG17" s="69"/>
    </row>
    <row r="18" spans="1:33" ht="19" x14ac:dyDescent="0.25">
      <c r="A18" s="54" t="s">
        <v>9</v>
      </c>
      <c r="B18" s="63">
        <v>17</v>
      </c>
      <c r="C18" s="11">
        <v>9</v>
      </c>
      <c r="D18" s="9">
        <f>VLOOKUP(C18,$L$2:$P$12,5,FALSE)</f>
        <v>0</v>
      </c>
      <c r="E18" s="15">
        <v>0</v>
      </c>
      <c r="F18" s="8">
        <f>VLOOKUP(C18,$L$2:$N$12,3,FALSE)+E18</f>
        <v>1410</v>
      </c>
      <c r="G18" s="11">
        <f>1410-F18</f>
        <v>0</v>
      </c>
      <c r="H18" s="7"/>
      <c r="I18" s="7"/>
      <c r="J18" s="7"/>
      <c r="K18" s="7"/>
      <c r="L18" s="7"/>
      <c r="M18" s="7"/>
      <c r="N18" s="7"/>
      <c r="O18" s="7"/>
      <c r="P18" s="7"/>
      <c r="Q18" s="7"/>
      <c r="R18" s="2"/>
      <c r="S18" s="2"/>
      <c r="T18" s="2"/>
      <c r="U18" s="2"/>
      <c r="V18" s="2"/>
      <c r="W18" s="2"/>
      <c r="X18" s="2"/>
      <c r="Y18" s="2"/>
      <c r="Z18" s="2"/>
      <c r="AA18" s="2"/>
      <c r="AB18" s="69"/>
      <c r="AC18" s="69"/>
      <c r="AD18" s="69"/>
      <c r="AE18" s="69"/>
      <c r="AF18" s="69"/>
      <c r="AG18" s="69"/>
    </row>
    <row r="19" spans="1:33" ht="19" x14ac:dyDescent="0.25">
      <c r="A19" s="52" t="s">
        <v>7</v>
      </c>
      <c r="B19" s="60">
        <v>21</v>
      </c>
      <c r="C19" s="11">
        <v>9</v>
      </c>
      <c r="D19" s="9">
        <f>VLOOKUP(C19,$L$2:$P$12,5,FALSE)</f>
        <v>0</v>
      </c>
      <c r="E19" s="15">
        <v>0</v>
      </c>
      <c r="F19" s="8">
        <f>VLOOKUP(C19,$L$2:$N$12,3,FALSE)+E19</f>
        <v>1410</v>
      </c>
      <c r="G19" s="11">
        <f>1410-F19</f>
        <v>0</v>
      </c>
      <c r="H19" s="7"/>
      <c r="I19" s="7"/>
      <c r="J19" s="7"/>
      <c r="K19" s="7"/>
      <c r="L19" s="7"/>
      <c r="M19" s="7"/>
      <c r="N19" s="7"/>
      <c r="O19" s="7"/>
      <c r="P19" s="7"/>
      <c r="Q19" s="7"/>
      <c r="R19" s="2"/>
      <c r="S19" s="2"/>
      <c r="T19" s="2"/>
      <c r="U19" s="2"/>
      <c r="V19" s="2"/>
      <c r="W19" s="2"/>
      <c r="X19" s="2"/>
      <c r="Y19" s="2"/>
      <c r="Z19" s="2"/>
      <c r="AA19" s="2"/>
      <c r="AB19" s="69"/>
      <c r="AC19" s="69"/>
      <c r="AD19" s="69"/>
      <c r="AE19" s="69"/>
      <c r="AF19" s="69"/>
      <c r="AG19" s="69"/>
    </row>
    <row r="20" spans="1:33" ht="19" x14ac:dyDescent="0.25">
      <c r="A20" s="34" t="s">
        <v>17</v>
      </c>
      <c r="B20" s="58">
        <v>3</v>
      </c>
      <c r="C20" s="11">
        <v>8</v>
      </c>
      <c r="D20" s="9">
        <f>VLOOKUP(C20,$L$2:$P$12,5,FALSE)</f>
        <v>1250</v>
      </c>
      <c r="E20" s="15">
        <v>550</v>
      </c>
      <c r="F20" s="8">
        <f>VLOOKUP(C20,$L$2:$N$12,3,FALSE)+E20</f>
        <v>1410</v>
      </c>
      <c r="G20" s="11">
        <f>1410-F20</f>
        <v>0</v>
      </c>
      <c r="H20" s="7"/>
      <c r="I20" s="33"/>
      <c r="J20" s="7"/>
      <c r="K20" s="7"/>
      <c r="L20" s="7"/>
      <c r="M20" s="7"/>
      <c r="N20" s="7"/>
      <c r="O20" s="7"/>
      <c r="P20" s="7"/>
      <c r="Q20" s="7"/>
      <c r="R20" s="2"/>
      <c r="S20" s="2"/>
      <c r="T20" s="2"/>
      <c r="U20" s="2"/>
      <c r="V20" s="2"/>
      <c r="W20" s="2"/>
      <c r="X20" s="2"/>
      <c r="Y20" s="2"/>
      <c r="Z20" s="2"/>
      <c r="AA20" s="2"/>
      <c r="AB20" s="69"/>
      <c r="AC20" s="69"/>
      <c r="AD20" s="69"/>
      <c r="AE20" s="69"/>
      <c r="AF20" s="69"/>
      <c r="AG20" s="69"/>
    </row>
    <row r="21" spans="1:33" ht="19" x14ac:dyDescent="0.25">
      <c r="A21" s="34" t="s">
        <v>16</v>
      </c>
      <c r="B21" s="58">
        <v>4</v>
      </c>
      <c r="C21" s="11">
        <v>8</v>
      </c>
      <c r="D21" s="9">
        <f>VLOOKUP(C21,$L$2:$P$12,5,FALSE)</f>
        <v>1250</v>
      </c>
      <c r="E21" s="15">
        <v>550</v>
      </c>
      <c r="F21" s="8">
        <f>VLOOKUP(C21,$L$2:$N$12,3,FALSE)+E21</f>
        <v>1410</v>
      </c>
      <c r="G21" s="11">
        <f>1410-F21</f>
        <v>0</v>
      </c>
      <c r="H21" s="7"/>
      <c r="I21" s="7"/>
      <c r="J21" s="7"/>
      <c r="K21" s="7"/>
      <c r="L21" s="7"/>
      <c r="M21" s="7"/>
      <c r="N21" s="7"/>
      <c r="O21" s="7"/>
      <c r="P21" s="7"/>
      <c r="Q21" s="7"/>
      <c r="R21" s="2"/>
      <c r="S21" s="2"/>
      <c r="T21" s="2"/>
      <c r="U21" s="2"/>
      <c r="V21" s="2"/>
      <c r="W21" s="2"/>
      <c r="X21" s="2"/>
      <c r="Y21" s="2"/>
      <c r="Z21" s="2"/>
      <c r="AA21" s="2"/>
      <c r="AB21" s="69"/>
      <c r="AC21" s="69"/>
      <c r="AD21" s="69"/>
      <c r="AE21" s="69"/>
      <c r="AF21" s="69"/>
      <c r="AG21" s="69"/>
    </row>
    <row r="22" spans="1:33" ht="19" x14ac:dyDescent="0.25">
      <c r="A22" s="34" t="s">
        <v>24</v>
      </c>
      <c r="B22" s="58">
        <v>10</v>
      </c>
      <c r="C22" s="11">
        <v>8</v>
      </c>
      <c r="D22" s="9">
        <f>VLOOKUP(C22,$L$2:$P$12,5,FALSE)</f>
        <v>1250</v>
      </c>
      <c r="E22" s="15">
        <v>550</v>
      </c>
      <c r="F22" s="8">
        <f>VLOOKUP(C22,$L$2:$N$12,3,FALSE)+E22</f>
        <v>1410</v>
      </c>
      <c r="G22" s="11">
        <f>1410-F22</f>
        <v>0</v>
      </c>
      <c r="H22" s="7"/>
      <c r="I22" s="7"/>
      <c r="J22" s="7"/>
      <c r="K22" s="7"/>
      <c r="L22" s="7"/>
      <c r="M22" s="7"/>
      <c r="N22" s="7"/>
      <c r="O22" s="7"/>
      <c r="P22" s="7"/>
      <c r="Q22" s="7"/>
      <c r="R22" s="2"/>
      <c r="S22" s="2"/>
      <c r="T22" s="2"/>
      <c r="U22" s="2"/>
      <c r="V22" s="2"/>
      <c r="W22" s="2"/>
      <c r="X22" s="2"/>
      <c r="Y22" s="2"/>
      <c r="Z22" s="2"/>
      <c r="AA22" s="2"/>
      <c r="AB22" s="69"/>
      <c r="AC22" s="69"/>
      <c r="AD22" s="69"/>
      <c r="AE22" s="69"/>
      <c r="AF22" s="69"/>
      <c r="AG22" s="69"/>
    </row>
    <row r="23" spans="1:33" ht="19" x14ac:dyDescent="0.25">
      <c r="A23" s="34" t="s">
        <v>25</v>
      </c>
      <c r="B23" s="58">
        <v>11</v>
      </c>
      <c r="C23" s="11">
        <v>8</v>
      </c>
      <c r="D23" s="9">
        <f>VLOOKUP(C23,$L$2:$P$12,5,FALSE)</f>
        <v>1250</v>
      </c>
      <c r="E23" s="15">
        <v>550</v>
      </c>
      <c r="F23" s="8">
        <f>VLOOKUP(C23,$L$2:$N$12,3,FALSE)+E23</f>
        <v>1410</v>
      </c>
      <c r="G23" s="11">
        <f>1410-F23</f>
        <v>0</v>
      </c>
      <c r="H23" s="7"/>
      <c r="I23" s="7"/>
      <c r="J23" s="7"/>
      <c r="K23" s="7"/>
      <c r="L23" s="7"/>
      <c r="M23" s="7"/>
      <c r="N23" s="7"/>
      <c r="O23" s="7"/>
      <c r="P23" s="7"/>
      <c r="Q23" s="7"/>
      <c r="R23" s="2"/>
      <c r="S23" s="2"/>
      <c r="T23" s="2"/>
      <c r="U23" s="2"/>
      <c r="V23" s="2"/>
      <c r="W23" s="2"/>
      <c r="X23" s="2"/>
      <c r="Y23" s="2"/>
      <c r="Z23" s="2"/>
      <c r="AA23" s="2"/>
      <c r="AB23" s="69"/>
      <c r="AC23" s="69"/>
      <c r="AD23" s="69"/>
      <c r="AE23" s="69"/>
      <c r="AF23" s="69"/>
      <c r="AG23" s="69"/>
    </row>
    <row r="24" spans="1:33" ht="19" x14ac:dyDescent="0.25">
      <c r="A24" s="50" t="s">
        <v>69</v>
      </c>
      <c r="B24" s="59">
        <v>13</v>
      </c>
      <c r="C24" s="11">
        <v>8</v>
      </c>
      <c r="D24" s="9">
        <f>VLOOKUP(C24,$L$2:$P$12,5,FALSE)</f>
        <v>1250</v>
      </c>
      <c r="E24" s="15">
        <v>550</v>
      </c>
      <c r="F24" s="8">
        <f>VLOOKUP(C24,$L$2:$N$12,3,FALSE)+E24</f>
        <v>1410</v>
      </c>
      <c r="G24" s="11">
        <f>1410-F24</f>
        <v>0</v>
      </c>
      <c r="H24" s="7"/>
      <c r="I24" s="7"/>
      <c r="J24" s="7"/>
      <c r="K24" s="7"/>
      <c r="L24" s="7"/>
      <c r="M24" s="7"/>
      <c r="N24" s="7"/>
      <c r="O24" s="7"/>
      <c r="P24" s="7"/>
      <c r="Q24" s="7"/>
      <c r="R24" s="2"/>
      <c r="S24" s="2"/>
      <c r="T24" s="2"/>
      <c r="U24" s="2"/>
      <c r="V24" s="2"/>
      <c r="W24" s="2"/>
      <c r="X24" s="2"/>
      <c r="Y24" s="2"/>
      <c r="Z24" s="2"/>
      <c r="AA24" s="2"/>
      <c r="AB24" s="69"/>
      <c r="AC24" s="69"/>
      <c r="AD24" s="69"/>
      <c r="AE24" s="69"/>
      <c r="AF24" s="69"/>
      <c r="AG24" s="69"/>
    </row>
    <row r="25" spans="1:33" ht="19" x14ac:dyDescent="0.25">
      <c r="A25" s="54" t="s">
        <v>10</v>
      </c>
      <c r="B25" s="63">
        <v>18</v>
      </c>
      <c r="C25" s="11">
        <v>8</v>
      </c>
      <c r="D25" s="9">
        <f>VLOOKUP(C25,$L$2:$P$12,5,FALSE)</f>
        <v>1250</v>
      </c>
      <c r="E25" s="15">
        <v>550</v>
      </c>
      <c r="F25" s="8">
        <f>VLOOKUP(C25,$L$2:$N$12,3,FALSE)+E25</f>
        <v>1410</v>
      </c>
      <c r="G25" s="11">
        <f>1410-F25</f>
        <v>0</v>
      </c>
      <c r="H25" s="7"/>
      <c r="I25" s="7"/>
      <c r="J25" s="7"/>
      <c r="K25" s="7"/>
      <c r="L25" s="7"/>
      <c r="M25" s="7"/>
      <c r="N25" s="7"/>
      <c r="O25" s="7"/>
      <c r="P25" s="7"/>
      <c r="Q25" s="7"/>
      <c r="R25" s="2"/>
      <c r="S25" s="2"/>
      <c r="T25" s="2"/>
      <c r="U25" s="2"/>
      <c r="V25" s="2"/>
      <c r="W25" s="2"/>
      <c r="X25" s="2"/>
      <c r="Y25" s="2"/>
      <c r="Z25" s="2"/>
      <c r="AA25" s="2"/>
      <c r="AB25" s="69"/>
      <c r="AC25" s="69"/>
      <c r="AD25" s="69"/>
      <c r="AE25" s="69"/>
      <c r="AF25" s="69"/>
      <c r="AG25" s="69"/>
    </row>
    <row r="26" spans="1:33" ht="19" x14ac:dyDescent="0.25">
      <c r="A26" s="54" t="s">
        <v>27</v>
      </c>
      <c r="B26" s="63">
        <v>19</v>
      </c>
      <c r="C26" s="11">
        <v>8</v>
      </c>
      <c r="D26" s="9">
        <f>VLOOKUP(C26,$L$2:$P$12,5,FALSE)</f>
        <v>1250</v>
      </c>
      <c r="E26" s="15">
        <v>550</v>
      </c>
      <c r="F26" s="8">
        <f>VLOOKUP(C26,$L$2:$N$12,3,FALSE)+E26</f>
        <v>1410</v>
      </c>
      <c r="G26" s="11">
        <f>1410-F26</f>
        <v>0</v>
      </c>
      <c r="H26" s="7"/>
      <c r="I26" s="7"/>
      <c r="J26" s="7"/>
      <c r="K26" s="7"/>
      <c r="L26" s="7"/>
      <c r="M26" s="7"/>
      <c r="N26" s="7"/>
      <c r="O26" s="7"/>
      <c r="P26" s="7"/>
      <c r="Q26" s="7"/>
      <c r="R26" s="2"/>
      <c r="S26" s="2"/>
      <c r="T26" s="2"/>
      <c r="U26" s="2"/>
      <c r="V26" s="2"/>
      <c r="W26" s="2"/>
      <c r="X26" s="2"/>
      <c r="Y26" s="2"/>
      <c r="Z26" s="2"/>
      <c r="AA26" s="2"/>
      <c r="AB26" s="69"/>
      <c r="AC26" s="69"/>
      <c r="AD26" s="69"/>
      <c r="AE26" s="69"/>
      <c r="AF26" s="69"/>
      <c r="AG26" s="69"/>
    </row>
    <row r="27" spans="1:33" ht="19" x14ac:dyDescent="0.25">
      <c r="A27" s="52" t="s">
        <v>6</v>
      </c>
      <c r="B27" s="60">
        <v>22</v>
      </c>
      <c r="C27" s="11">
        <v>8</v>
      </c>
      <c r="D27" s="9">
        <f>VLOOKUP(C27,$L$2:$P$12,5,FALSE)</f>
        <v>1250</v>
      </c>
      <c r="E27" s="15">
        <v>550</v>
      </c>
      <c r="F27" s="8">
        <f>VLOOKUP(C27,$L$2:$N$12,3,FALSE)+E27</f>
        <v>1410</v>
      </c>
      <c r="G27" s="11">
        <f>1410-F27</f>
        <v>0</v>
      </c>
      <c r="H27" s="7"/>
      <c r="I27" s="7"/>
      <c r="J27" s="7"/>
      <c r="K27" s="7"/>
      <c r="L27" s="7"/>
      <c r="M27" s="7"/>
      <c r="N27" s="7"/>
      <c r="O27" s="7"/>
      <c r="P27" s="7"/>
      <c r="Q27" s="7"/>
      <c r="R27" s="2"/>
      <c r="S27" s="2"/>
      <c r="T27" s="2"/>
      <c r="U27" s="2"/>
      <c r="V27" s="2"/>
      <c r="W27" s="2"/>
      <c r="X27" s="2"/>
      <c r="Y27" s="2"/>
      <c r="Z27" s="2"/>
      <c r="AA27" s="2"/>
      <c r="AB27" s="69"/>
      <c r="AC27" s="69"/>
      <c r="AD27" s="69"/>
      <c r="AE27" s="69"/>
      <c r="AF27" s="69"/>
      <c r="AG27" s="69"/>
    </row>
    <row r="28" spans="1:33" ht="19" x14ac:dyDescent="0.25">
      <c r="A28" s="52" t="s">
        <v>50</v>
      </c>
      <c r="B28" s="60">
        <v>24</v>
      </c>
      <c r="C28" s="11">
        <v>8</v>
      </c>
      <c r="D28" s="9">
        <f>VLOOKUP(C28,$L$2:$P$12,5,FALSE)</f>
        <v>1250</v>
      </c>
      <c r="E28" s="15">
        <v>550</v>
      </c>
      <c r="F28" s="8">
        <f>VLOOKUP(C28,$L$2:$N$12,3,FALSE)+E28</f>
        <v>1410</v>
      </c>
      <c r="G28" s="11">
        <f>1410-F28</f>
        <v>0</v>
      </c>
      <c r="H28" s="7"/>
      <c r="I28" s="7"/>
      <c r="J28" s="7"/>
      <c r="K28" s="7"/>
      <c r="L28" s="7"/>
      <c r="M28" s="7"/>
      <c r="N28" s="7"/>
      <c r="O28" s="7"/>
      <c r="P28" s="7"/>
      <c r="Q28" s="7"/>
      <c r="R28" s="2"/>
      <c r="S28" s="2"/>
      <c r="T28" s="2"/>
      <c r="U28" s="2"/>
      <c r="V28" s="2"/>
      <c r="W28" s="2"/>
      <c r="X28" s="2"/>
      <c r="Y28" s="2"/>
      <c r="Z28" s="2"/>
      <c r="AA28" s="2"/>
      <c r="AB28" s="69"/>
      <c r="AC28" s="69"/>
      <c r="AD28" s="69"/>
      <c r="AE28" s="69"/>
      <c r="AF28" s="69"/>
      <c r="AG28" s="69"/>
    </row>
    <row r="29" spans="1:33" ht="19" x14ac:dyDescent="0.25">
      <c r="A29" s="53" t="s">
        <v>3</v>
      </c>
      <c r="B29" s="62">
        <v>25</v>
      </c>
      <c r="C29" s="11">
        <v>8</v>
      </c>
      <c r="D29" s="9">
        <f>VLOOKUP(C29,$L$2:$P$12,5,FALSE)</f>
        <v>1250</v>
      </c>
      <c r="E29" s="15">
        <v>550</v>
      </c>
      <c r="F29" s="8">
        <f>VLOOKUP(C29,$L$2:$N$12,3,FALSE)+E29</f>
        <v>1410</v>
      </c>
      <c r="G29" s="11">
        <f>1410-F29</f>
        <v>0</v>
      </c>
      <c r="H29" s="7"/>
      <c r="I29" s="7"/>
      <c r="J29" s="7"/>
      <c r="K29" s="7"/>
      <c r="L29" s="7"/>
      <c r="M29" s="7"/>
      <c r="N29" s="7"/>
      <c r="O29" s="7"/>
      <c r="P29" s="7"/>
      <c r="Q29" s="7"/>
      <c r="R29" s="2"/>
      <c r="S29" s="2"/>
      <c r="T29" s="2"/>
      <c r="U29" s="2"/>
      <c r="V29" s="2"/>
      <c r="W29" s="2"/>
      <c r="X29" s="2"/>
      <c r="Y29" s="2"/>
      <c r="Z29" s="2"/>
      <c r="AA29" s="2"/>
      <c r="AB29" s="69"/>
      <c r="AC29" s="69"/>
      <c r="AD29" s="69"/>
      <c r="AE29" s="69"/>
      <c r="AF29" s="69"/>
      <c r="AG29" s="69"/>
    </row>
    <row r="30" spans="1:33" ht="19" x14ac:dyDescent="0.25">
      <c r="A30" s="53" t="s">
        <v>4</v>
      </c>
      <c r="B30" s="62">
        <v>26</v>
      </c>
      <c r="C30" s="11">
        <v>8</v>
      </c>
      <c r="D30" s="9">
        <f>VLOOKUP(C30,$L$2:$P$12,5,FALSE)</f>
        <v>1250</v>
      </c>
      <c r="E30" s="15">
        <v>550</v>
      </c>
      <c r="F30" s="8">
        <f>VLOOKUP(C30,$L$2:$N$12,3,FALSE)+E30</f>
        <v>1410</v>
      </c>
      <c r="G30" s="11">
        <f>1410-F30</f>
        <v>0</v>
      </c>
      <c r="H30" s="7"/>
      <c r="I30" s="7"/>
      <c r="J30" s="7"/>
      <c r="K30" s="7"/>
      <c r="L30" s="7"/>
      <c r="M30" s="7"/>
      <c r="N30" s="7"/>
      <c r="O30" s="7"/>
      <c r="P30" s="7"/>
      <c r="Q30" s="7"/>
      <c r="R30" s="2"/>
      <c r="S30" s="2"/>
      <c r="T30" s="2"/>
      <c r="U30" s="2"/>
      <c r="V30" s="2"/>
      <c r="W30" s="2"/>
      <c r="X30" s="2"/>
      <c r="Y30" s="2"/>
      <c r="Z30" s="2"/>
      <c r="AA30" s="2"/>
      <c r="AB30" s="69"/>
      <c r="AC30" s="69"/>
      <c r="AD30" s="69"/>
      <c r="AE30" s="69"/>
      <c r="AF30" s="69"/>
      <c r="AG30" s="69"/>
    </row>
    <row r="31" spans="1:33" ht="19" x14ac:dyDescent="0.25">
      <c r="A31" s="51" t="s">
        <v>0</v>
      </c>
      <c r="B31" s="61">
        <v>30</v>
      </c>
      <c r="C31" s="11">
        <v>8</v>
      </c>
      <c r="D31" s="9">
        <f>VLOOKUP(C31,$L$2:$P$12,5,FALSE)</f>
        <v>1250</v>
      </c>
      <c r="E31" s="15">
        <v>550</v>
      </c>
      <c r="F31" s="8">
        <f>VLOOKUP(C31,$L$2:$N$12,3,FALSE)+E31</f>
        <v>1410</v>
      </c>
      <c r="G31" s="11">
        <f>1410-F31</f>
        <v>0</v>
      </c>
      <c r="H31" s="7"/>
      <c r="I31" s="7"/>
      <c r="J31" s="7"/>
      <c r="K31" s="7"/>
      <c r="L31" s="7"/>
      <c r="M31" s="7"/>
      <c r="N31" s="7"/>
      <c r="O31" s="7"/>
      <c r="P31" s="7"/>
      <c r="Q31" s="7"/>
      <c r="R31" s="2"/>
      <c r="S31" s="2"/>
      <c r="T31" s="2"/>
      <c r="U31" s="2"/>
      <c r="V31" s="2"/>
      <c r="W31" s="2"/>
      <c r="X31" s="2"/>
      <c r="Y31" s="2"/>
      <c r="Z31" s="2"/>
      <c r="AA31" s="2"/>
      <c r="AB31" s="69"/>
      <c r="AC31" s="69"/>
      <c r="AD31" s="69"/>
      <c r="AE31" s="69"/>
      <c r="AF31" s="69"/>
      <c r="AG31" s="69"/>
    </row>
    <row r="32" spans="1:33" ht="19" customHeight="1" x14ac:dyDescent="0.25">
      <c r="A32" s="51" t="s">
        <v>2</v>
      </c>
      <c r="B32" s="61">
        <v>31</v>
      </c>
      <c r="C32" s="11">
        <v>8</v>
      </c>
      <c r="D32" s="9">
        <f>VLOOKUP(C32,$L$2:$P$12,5,FALSE)</f>
        <v>1250</v>
      </c>
      <c r="E32" s="15">
        <v>550</v>
      </c>
      <c r="F32" s="8">
        <f>VLOOKUP(C32,$L$2:$N$12,3,FALSE)+E32</f>
        <v>1410</v>
      </c>
      <c r="G32" s="11">
        <f>1410-F32</f>
        <v>0</v>
      </c>
      <c r="H32" s="7"/>
      <c r="I32" s="7"/>
      <c r="J32" s="7"/>
      <c r="K32" s="7"/>
      <c r="L32" s="7"/>
      <c r="M32" s="7"/>
      <c r="N32" s="7"/>
      <c r="O32" s="7"/>
      <c r="P32" s="7"/>
      <c r="Q32" s="7"/>
      <c r="R32" s="2"/>
      <c r="S32" s="2"/>
      <c r="T32" s="2"/>
      <c r="U32" s="2"/>
      <c r="V32" s="2"/>
      <c r="W32" s="2"/>
      <c r="X32" s="2"/>
      <c r="Y32" s="2"/>
      <c r="Z32" s="2"/>
      <c r="AA32" s="2"/>
      <c r="AB32" s="69"/>
      <c r="AC32" s="69"/>
      <c r="AD32" s="69"/>
      <c r="AE32" s="69"/>
      <c r="AF32" s="69"/>
      <c r="AG32" s="69"/>
    </row>
    <row r="33" spans="1:33" s="1" customFormat="1" ht="19" customHeight="1" thickBot="1" x14ac:dyDescent="0.3">
      <c r="A33" s="53" t="s">
        <v>52</v>
      </c>
      <c r="B33" s="67">
        <v>28</v>
      </c>
      <c r="C33" s="11">
        <v>0</v>
      </c>
      <c r="D33" s="9">
        <f>VLOOKUP(C33,$L$2:$P$12,5,FALSE)</f>
        <v>3070</v>
      </c>
      <c r="E33" s="35">
        <v>0</v>
      </c>
      <c r="F33" s="8">
        <f>VLOOKUP(C33,$L$2:$N$12,3,FALSE)+E33</f>
        <v>0</v>
      </c>
      <c r="G33" s="11">
        <f>1410-F33</f>
        <v>1410</v>
      </c>
      <c r="H33" s="33"/>
      <c r="I33" s="33"/>
      <c r="J33" s="33"/>
      <c r="K33" s="33"/>
      <c r="L33" s="33"/>
      <c r="M33" s="7"/>
      <c r="N33" s="7"/>
      <c r="O33" s="7"/>
      <c r="P33" s="7"/>
      <c r="Q33" s="33"/>
      <c r="R33" s="3"/>
      <c r="S33" s="3"/>
      <c r="T33" s="3"/>
      <c r="U33" s="3"/>
      <c r="V33" s="3"/>
      <c r="W33" s="3"/>
      <c r="X33" s="3"/>
      <c r="Y33" s="3"/>
      <c r="Z33" s="3"/>
      <c r="AA33" s="3"/>
      <c r="AB33" s="76"/>
      <c r="AC33" s="76"/>
      <c r="AD33" s="76"/>
      <c r="AE33" s="76"/>
      <c r="AF33" s="76"/>
      <c r="AG33" s="76"/>
    </row>
    <row r="34" spans="1:33" ht="19" customHeight="1" thickBot="1" x14ac:dyDescent="0.3">
      <c r="A34" s="36" t="s">
        <v>38</v>
      </c>
      <c r="B34" s="55"/>
      <c r="C34" s="37">
        <v>0</v>
      </c>
      <c r="D34" s="38">
        <v>3090</v>
      </c>
      <c r="E34" s="39"/>
      <c r="F34" s="38">
        <v>0</v>
      </c>
      <c r="G34" s="40">
        <v>1410</v>
      </c>
      <c r="H34" s="7"/>
      <c r="I34" s="7"/>
      <c r="J34" s="7"/>
      <c r="K34" s="7"/>
      <c r="L34" s="7"/>
      <c r="M34" s="33"/>
      <c r="N34" s="33"/>
      <c r="O34" s="33"/>
      <c r="P34" s="33"/>
      <c r="Q34" s="7"/>
      <c r="R34" s="2"/>
      <c r="S34" s="2"/>
      <c r="T34" s="2"/>
      <c r="U34" s="2"/>
      <c r="V34" s="2"/>
      <c r="W34" s="2"/>
      <c r="X34" s="2"/>
      <c r="Y34" s="2"/>
      <c r="Z34" s="2"/>
      <c r="AA34" s="2"/>
      <c r="AB34" s="69"/>
      <c r="AC34" s="69"/>
      <c r="AD34" s="69"/>
      <c r="AE34" s="69"/>
      <c r="AF34" s="69"/>
      <c r="AG34" s="69"/>
    </row>
    <row r="35" spans="1:33" ht="20" thickBot="1" x14ac:dyDescent="0.3">
      <c r="A35" s="3"/>
      <c r="B35" s="3"/>
      <c r="C35" s="2"/>
      <c r="D35" s="2"/>
      <c r="E35" s="2"/>
      <c r="F35" s="2"/>
      <c r="G35" s="2"/>
      <c r="H35" s="69"/>
      <c r="I35" s="69"/>
      <c r="J35" s="69"/>
      <c r="K35" s="69"/>
      <c r="L35" s="7"/>
      <c r="M35" s="7"/>
      <c r="N35" s="7"/>
      <c r="O35" s="7"/>
      <c r="P35" s="7"/>
      <c r="Q35" s="2"/>
      <c r="R35" s="2"/>
      <c r="S35" s="2"/>
      <c r="T35" s="2"/>
      <c r="U35" s="2"/>
      <c r="V35" s="2"/>
      <c r="W35" s="2"/>
      <c r="X35" s="2"/>
      <c r="Y35" s="2"/>
      <c r="Z35" s="2"/>
      <c r="AA35" s="2"/>
      <c r="AB35" s="69"/>
      <c r="AC35" s="69"/>
      <c r="AD35" s="69"/>
      <c r="AE35" s="69"/>
      <c r="AF35" s="69"/>
      <c r="AG35" s="69"/>
    </row>
    <row r="36" spans="1:33" ht="22" customHeight="1" thickBot="1" x14ac:dyDescent="0.3">
      <c r="A36" s="104" t="s">
        <v>53</v>
      </c>
      <c r="B36" s="105"/>
      <c r="C36" s="105"/>
      <c r="D36" s="104" t="s">
        <v>54</v>
      </c>
      <c r="E36" s="105"/>
      <c r="F36" s="105"/>
      <c r="G36" s="106"/>
      <c r="H36" s="69"/>
      <c r="I36" s="69"/>
      <c r="J36" s="69"/>
      <c r="K36" s="69"/>
      <c r="L36" s="2"/>
      <c r="M36" s="2"/>
      <c r="N36" s="2"/>
      <c r="O36" s="2"/>
      <c r="P36" s="2"/>
      <c r="Q36" s="2"/>
      <c r="R36" s="2"/>
      <c r="S36" s="2"/>
      <c r="T36" s="2"/>
      <c r="U36" s="2"/>
      <c r="V36" s="2"/>
      <c r="W36" s="2"/>
      <c r="X36" s="2"/>
      <c r="Y36" s="2"/>
      <c r="Z36" s="2"/>
      <c r="AA36" s="2"/>
      <c r="AB36" s="69"/>
      <c r="AC36" s="69"/>
      <c r="AD36" s="69"/>
      <c r="AE36" s="69"/>
      <c r="AF36" s="69"/>
      <c r="AG36" s="69"/>
    </row>
    <row r="37" spans="1:33" ht="16" customHeight="1" x14ac:dyDescent="0.2">
      <c r="A37" s="93" t="s">
        <v>63</v>
      </c>
      <c r="B37" s="94"/>
      <c r="C37" s="95"/>
      <c r="D37" s="111" t="s">
        <v>58</v>
      </c>
      <c r="E37" s="107" t="s">
        <v>57</v>
      </c>
      <c r="F37" s="107"/>
      <c r="G37" s="108"/>
      <c r="H37" s="69"/>
      <c r="I37" s="69"/>
      <c r="J37" s="69"/>
      <c r="K37" s="69"/>
      <c r="L37" s="2"/>
      <c r="M37" s="2"/>
      <c r="N37" s="2"/>
      <c r="O37" s="2"/>
      <c r="P37" s="2"/>
      <c r="Q37" s="2"/>
      <c r="R37" s="2"/>
      <c r="S37" s="2"/>
      <c r="T37" s="2"/>
      <c r="U37" s="2"/>
      <c r="V37" s="2"/>
      <c r="W37" s="2"/>
      <c r="X37" s="2"/>
      <c r="Y37" s="2"/>
      <c r="Z37" s="2"/>
      <c r="AA37" s="2"/>
      <c r="AB37" s="69"/>
      <c r="AC37" s="69"/>
      <c r="AD37" s="69"/>
      <c r="AE37" s="69"/>
      <c r="AF37" s="69"/>
      <c r="AG37" s="69"/>
    </row>
    <row r="38" spans="1:33" x14ac:dyDescent="0.2">
      <c r="A38" s="96"/>
      <c r="B38" s="97"/>
      <c r="C38" s="98"/>
      <c r="D38" s="91"/>
      <c r="E38" s="109"/>
      <c r="F38" s="109"/>
      <c r="G38" s="110"/>
      <c r="H38" s="69"/>
      <c r="I38" s="69"/>
      <c r="J38" s="69"/>
      <c r="K38" s="69"/>
      <c r="L38" s="2"/>
      <c r="M38" s="2"/>
      <c r="N38" s="2"/>
      <c r="O38" s="2"/>
      <c r="P38" s="2"/>
      <c r="Q38" s="2"/>
      <c r="R38" s="2"/>
      <c r="S38" s="2"/>
      <c r="T38" s="2"/>
      <c r="U38" s="2"/>
      <c r="V38" s="2"/>
      <c r="W38" s="2"/>
      <c r="X38" s="2"/>
      <c r="Y38" s="2"/>
      <c r="Z38" s="2"/>
      <c r="AA38" s="2"/>
      <c r="AB38" s="69"/>
      <c r="AC38" s="69"/>
      <c r="AD38" s="69"/>
      <c r="AE38" s="69"/>
      <c r="AF38" s="69"/>
      <c r="AG38" s="69"/>
    </row>
    <row r="39" spans="1:33" x14ac:dyDescent="0.2">
      <c r="A39" s="96"/>
      <c r="B39" s="97"/>
      <c r="C39" s="98"/>
      <c r="D39" s="89" t="s">
        <v>59</v>
      </c>
      <c r="E39" s="112" t="s">
        <v>60</v>
      </c>
      <c r="F39" s="112"/>
      <c r="G39" s="113"/>
      <c r="H39" s="69"/>
      <c r="I39" s="69"/>
      <c r="J39" s="69"/>
      <c r="K39" s="69"/>
      <c r="L39" s="2"/>
      <c r="M39" s="2"/>
      <c r="N39" s="2"/>
      <c r="O39" s="2"/>
      <c r="P39" s="2"/>
      <c r="Q39" s="2"/>
      <c r="R39" s="2"/>
      <c r="S39" s="2"/>
      <c r="T39" s="2"/>
      <c r="U39" s="2"/>
      <c r="V39" s="2"/>
      <c r="W39" s="2"/>
      <c r="X39" s="2"/>
      <c r="Y39" s="2"/>
      <c r="Z39" s="2"/>
      <c r="AA39" s="2"/>
      <c r="AB39" s="69"/>
      <c r="AC39" s="69"/>
      <c r="AD39" s="69"/>
      <c r="AE39" s="69"/>
      <c r="AF39" s="69"/>
      <c r="AG39" s="69"/>
    </row>
    <row r="40" spans="1:33" x14ac:dyDescent="0.2">
      <c r="A40" s="96"/>
      <c r="B40" s="97"/>
      <c r="C40" s="98"/>
      <c r="D40" s="90"/>
      <c r="E40" s="107"/>
      <c r="F40" s="107"/>
      <c r="G40" s="108"/>
      <c r="H40" s="2"/>
      <c r="I40" s="2"/>
      <c r="J40" s="2"/>
      <c r="K40" s="69"/>
      <c r="L40" s="2"/>
      <c r="M40" s="2"/>
      <c r="N40" s="2"/>
      <c r="O40" s="2"/>
      <c r="P40" s="2"/>
      <c r="Q40" s="2"/>
      <c r="R40" s="2"/>
      <c r="S40" s="2"/>
      <c r="T40" s="2"/>
      <c r="U40" s="2"/>
      <c r="V40" s="2"/>
      <c r="W40" s="2"/>
      <c r="X40" s="2"/>
      <c r="Y40" s="2"/>
      <c r="Z40" s="2"/>
      <c r="AA40" s="2"/>
      <c r="AB40" s="69"/>
      <c r="AC40" s="69"/>
      <c r="AD40" s="69"/>
      <c r="AE40" s="69"/>
      <c r="AF40" s="69"/>
      <c r="AG40" s="69"/>
    </row>
    <row r="41" spans="1:33" x14ac:dyDescent="0.2">
      <c r="A41" s="96"/>
      <c r="B41" s="97"/>
      <c r="C41" s="98"/>
      <c r="D41" s="90"/>
      <c r="E41" s="107"/>
      <c r="F41" s="107"/>
      <c r="G41" s="108"/>
      <c r="H41" s="2"/>
      <c r="I41" s="2"/>
      <c r="J41" s="2"/>
      <c r="K41" s="2"/>
      <c r="L41" s="2"/>
      <c r="M41" s="2"/>
      <c r="N41" s="2"/>
      <c r="O41" s="2"/>
      <c r="P41" s="2"/>
      <c r="Q41" s="2"/>
      <c r="R41" s="2"/>
      <c r="S41" s="2"/>
      <c r="T41" s="2"/>
      <c r="U41" s="2"/>
      <c r="V41" s="2"/>
      <c r="W41" s="2"/>
      <c r="X41" s="2"/>
      <c r="Y41" s="2"/>
      <c r="Z41" s="2"/>
      <c r="AA41" s="2"/>
      <c r="AB41" s="69"/>
      <c r="AC41" s="69"/>
      <c r="AD41" s="69"/>
      <c r="AE41" s="69"/>
      <c r="AF41" s="69"/>
      <c r="AG41" s="69"/>
    </row>
    <row r="42" spans="1:33" x14ac:dyDescent="0.2">
      <c r="A42" s="96"/>
      <c r="B42" s="97"/>
      <c r="C42" s="98"/>
      <c r="D42" s="91"/>
      <c r="E42" s="109"/>
      <c r="F42" s="109"/>
      <c r="G42" s="110"/>
      <c r="H42" s="2"/>
      <c r="I42" s="2"/>
      <c r="J42" s="2"/>
      <c r="K42" s="2"/>
      <c r="L42" s="2"/>
      <c r="M42" s="2"/>
      <c r="N42" s="2"/>
      <c r="O42" s="2"/>
      <c r="P42" s="2"/>
      <c r="Q42" s="2"/>
      <c r="R42" s="2"/>
      <c r="S42" s="2"/>
      <c r="T42" s="2"/>
      <c r="U42" s="2"/>
      <c r="V42" s="2"/>
      <c r="W42" s="2"/>
      <c r="X42" s="2"/>
      <c r="Y42" s="2"/>
      <c r="Z42" s="2"/>
      <c r="AA42" s="2"/>
      <c r="AB42" s="69"/>
      <c r="AC42" s="69"/>
      <c r="AD42" s="69"/>
      <c r="AE42" s="69"/>
      <c r="AF42" s="69"/>
      <c r="AG42" s="69"/>
    </row>
    <row r="43" spans="1:33" x14ac:dyDescent="0.2">
      <c r="A43" s="96"/>
      <c r="B43" s="97"/>
      <c r="C43" s="98"/>
      <c r="D43" s="89" t="s">
        <v>61</v>
      </c>
      <c r="E43" s="83" t="s">
        <v>62</v>
      </c>
      <c r="F43" s="83"/>
      <c r="G43" s="84"/>
      <c r="H43" s="2"/>
      <c r="I43" s="2"/>
      <c r="J43" s="2"/>
      <c r="K43" s="2"/>
      <c r="L43" s="2"/>
      <c r="M43" s="2"/>
      <c r="N43" s="2"/>
      <c r="O43" s="2"/>
      <c r="P43" s="2"/>
      <c r="Q43" s="2"/>
      <c r="R43" s="2"/>
      <c r="S43" s="2"/>
      <c r="T43" s="2"/>
      <c r="U43" s="2"/>
      <c r="V43" s="2"/>
      <c r="W43" s="2"/>
      <c r="X43" s="2"/>
      <c r="Y43" s="2"/>
      <c r="Z43" s="2"/>
      <c r="AA43" s="2"/>
      <c r="AB43" s="69"/>
      <c r="AC43" s="69"/>
      <c r="AD43" s="69"/>
      <c r="AE43" s="69"/>
      <c r="AF43" s="69"/>
      <c r="AG43" s="69"/>
    </row>
    <row r="44" spans="1:33" x14ac:dyDescent="0.2">
      <c r="A44" s="96"/>
      <c r="B44" s="97"/>
      <c r="C44" s="98"/>
      <c r="D44" s="90"/>
      <c r="E44" s="85"/>
      <c r="F44" s="85"/>
      <c r="G44" s="86"/>
      <c r="H44" s="2"/>
      <c r="I44" s="2"/>
      <c r="J44" s="2"/>
      <c r="K44" s="2"/>
      <c r="L44" s="2"/>
      <c r="M44" s="2"/>
      <c r="N44" s="2"/>
      <c r="O44" s="2"/>
      <c r="P44" s="2"/>
      <c r="Q44" s="2"/>
      <c r="R44" s="2"/>
      <c r="S44" s="2"/>
      <c r="T44" s="2"/>
      <c r="U44" s="2"/>
      <c r="V44" s="2"/>
      <c r="W44" s="2"/>
      <c r="X44" s="2"/>
      <c r="Y44" s="2"/>
      <c r="Z44" s="2"/>
      <c r="AA44" s="2"/>
      <c r="AB44" s="69"/>
      <c r="AC44" s="69"/>
      <c r="AD44" s="69"/>
      <c r="AE44" s="69"/>
      <c r="AF44" s="69"/>
      <c r="AG44" s="69"/>
    </row>
    <row r="45" spans="1:33" ht="17" thickBot="1" x14ac:dyDescent="0.25">
      <c r="A45" s="96"/>
      <c r="B45" s="97"/>
      <c r="C45" s="98"/>
      <c r="D45" s="92"/>
      <c r="E45" s="87"/>
      <c r="F45" s="87"/>
      <c r="G45" s="88"/>
      <c r="H45" s="2"/>
      <c r="I45" s="2"/>
      <c r="J45" s="2"/>
      <c r="K45" s="2"/>
      <c r="L45" s="2"/>
      <c r="M45" s="2"/>
      <c r="N45" s="2"/>
      <c r="O45" s="2"/>
      <c r="P45" s="2"/>
      <c r="Q45" s="2"/>
      <c r="R45" s="2"/>
      <c r="S45" s="2"/>
      <c r="T45" s="2"/>
      <c r="U45" s="2"/>
      <c r="V45" s="2"/>
      <c r="W45" s="2"/>
      <c r="X45" s="2"/>
      <c r="Y45" s="2"/>
      <c r="Z45" s="2"/>
      <c r="AA45" s="2"/>
      <c r="AB45" s="69"/>
      <c r="AC45" s="69"/>
      <c r="AD45" s="69"/>
      <c r="AE45" s="69"/>
      <c r="AF45" s="69"/>
      <c r="AG45" s="69"/>
    </row>
    <row r="46" spans="1:33" x14ac:dyDescent="0.2">
      <c r="A46" s="96"/>
      <c r="B46" s="97"/>
      <c r="C46" s="98"/>
      <c r="D46" s="69"/>
      <c r="E46" s="69"/>
      <c r="F46" s="2"/>
      <c r="G46" s="2"/>
      <c r="H46" s="2"/>
      <c r="I46" s="2"/>
      <c r="J46" s="2"/>
      <c r="K46" s="2"/>
      <c r="L46" s="2"/>
      <c r="M46" s="2"/>
      <c r="N46" s="2"/>
      <c r="O46" s="2"/>
      <c r="P46" s="2"/>
      <c r="Q46" s="2"/>
      <c r="R46" s="2"/>
      <c r="S46" s="2"/>
      <c r="T46" s="2"/>
      <c r="U46" s="2"/>
      <c r="V46" s="2"/>
      <c r="W46" s="2"/>
      <c r="X46" s="2"/>
      <c r="Y46" s="2"/>
      <c r="Z46" s="2"/>
      <c r="AA46" s="2"/>
      <c r="AB46" s="69"/>
      <c r="AC46" s="69"/>
      <c r="AD46" s="69"/>
      <c r="AE46" s="69"/>
      <c r="AF46" s="69"/>
      <c r="AG46" s="69"/>
    </row>
    <row r="47" spans="1:33" x14ac:dyDescent="0.2">
      <c r="A47" s="96"/>
      <c r="B47" s="97"/>
      <c r="C47" s="98"/>
      <c r="D47" s="69"/>
      <c r="E47" s="69"/>
      <c r="F47" s="2"/>
      <c r="G47" s="2"/>
      <c r="H47" s="2"/>
      <c r="I47" s="2"/>
      <c r="J47" s="2"/>
      <c r="K47" s="2"/>
      <c r="L47" s="2"/>
      <c r="M47" s="2"/>
      <c r="N47" s="2"/>
      <c r="O47" s="2"/>
      <c r="P47" s="2"/>
      <c r="Q47" s="2"/>
      <c r="R47" s="2"/>
      <c r="S47" s="2"/>
      <c r="T47" s="2"/>
      <c r="U47" s="2"/>
      <c r="V47" s="2"/>
      <c r="W47" s="2"/>
      <c r="X47" s="2"/>
      <c r="Y47" s="2"/>
      <c r="Z47" s="2"/>
      <c r="AA47" s="2"/>
      <c r="AB47" s="69"/>
      <c r="AC47" s="69"/>
      <c r="AD47" s="69"/>
      <c r="AE47" s="69"/>
      <c r="AF47" s="69"/>
      <c r="AG47" s="69"/>
    </row>
    <row r="48" spans="1:33" x14ac:dyDescent="0.2">
      <c r="A48" s="96"/>
      <c r="B48" s="97"/>
      <c r="C48" s="98"/>
      <c r="D48" s="2"/>
      <c r="E48" s="2"/>
      <c r="F48" s="2"/>
      <c r="G48" s="2"/>
      <c r="H48" s="2"/>
      <c r="I48" s="2"/>
      <c r="J48" s="2"/>
      <c r="K48" s="2"/>
      <c r="L48" s="2"/>
      <c r="M48" s="2"/>
      <c r="N48" s="2"/>
      <c r="O48" s="2"/>
      <c r="P48" s="2"/>
      <c r="Q48" s="2"/>
      <c r="R48" s="2"/>
      <c r="S48" s="2"/>
      <c r="T48" s="2"/>
      <c r="U48" s="2"/>
      <c r="V48" s="2"/>
      <c r="W48" s="2"/>
      <c r="X48" s="2"/>
      <c r="Y48" s="2"/>
      <c r="Z48" s="2"/>
      <c r="AA48" s="2"/>
      <c r="AB48" s="69"/>
      <c r="AC48" s="69"/>
      <c r="AD48" s="69"/>
      <c r="AE48" s="69"/>
      <c r="AF48" s="69"/>
      <c r="AG48" s="69"/>
    </row>
    <row r="49" spans="1:33" x14ac:dyDescent="0.2">
      <c r="A49" s="96"/>
      <c r="B49" s="97"/>
      <c r="C49" s="98"/>
      <c r="D49" s="2"/>
      <c r="E49" s="2"/>
      <c r="F49" s="2"/>
      <c r="G49" s="2"/>
      <c r="H49" s="2"/>
      <c r="I49" s="2"/>
      <c r="J49" s="2"/>
      <c r="K49" s="2"/>
      <c r="L49" s="2"/>
      <c r="M49" s="2"/>
      <c r="N49" s="2"/>
      <c r="O49" s="2"/>
      <c r="P49" s="2"/>
      <c r="Q49" s="2"/>
      <c r="R49" s="2"/>
      <c r="S49" s="2"/>
      <c r="T49" s="2"/>
      <c r="U49" s="2"/>
      <c r="V49" s="2"/>
      <c r="W49" s="2"/>
      <c r="X49" s="2"/>
      <c r="Y49" s="2"/>
      <c r="Z49" s="2"/>
      <c r="AA49" s="2"/>
      <c r="AB49" s="69"/>
      <c r="AC49" s="69"/>
      <c r="AD49" s="69"/>
      <c r="AE49" s="69"/>
      <c r="AF49" s="69"/>
      <c r="AG49" s="69"/>
    </row>
    <row r="50" spans="1:33" x14ac:dyDescent="0.2">
      <c r="A50" s="96"/>
      <c r="B50" s="97"/>
      <c r="C50" s="98"/>
      <c r="D50" s="2"/>
      <c r="E50" s="2"/>
      <c r="F50" s="2"/>
      <c r="G50" s="2"/>
      <c r="H50" s="2"/>
      <c r="I50" s="2"/>
      <c r="J50" s="2"/>
      <c r="K50" s="2"/>
      <c r="L50" s="2"/>
      <c r="M50" s="2"/>
      <c r="N50" s="2"/>
      <c r="O50" s="2"/>
      <c r="P50" s="2"/>
      <c r="Q50" s="2"/>
      <c r="R50" s="2"/>
      <c r="S50" s="2"/>
      <c r="T50" s="2"/>
      <c r="U50" s="2"/>
      <c r="V50" s="2"/>
      <c r="W50" s="2"/>
      <c r="X50" s="2"/>
      <c r="Y50" s="2"/>
      <c r="Z50" s="2"/>
      <c r="AA50" s="2"/>
      <c r="AB50" s="69"/>
      <c r="AC50" s="69"/>
      <c r="AD50" s="69"/>
      <c r="AE50" s="69"/>
      <c r="AF50" s="69"/>
      <c r="AG50" s="69"/>
    </row>
    <row r="51" spans="1:33" ht="17" thickBot="1" x14ac:dyDescent="0.25">
      <c r="A51" s="99"/>
      <c r="B51" s="100"/>
      <c r="C51" s="101"/>
      <c r="D51" s="2"/>
      <c r="E51" s="2"/>
      <c r="F51" s="2"/>
      <c r="G51" s="2"/>
      <c r="H51" s="2"/>
      <c r="I51" s="2"/>
      <c r="J51" s="2"/>
      <c r="K51" s="2"/>
      <c r="L51" s="2"/>
      <c r="M51" s="2"/>
      <c r="N51" s="2"/>
      <c r="O51" s="2"/>
      <c r="P51" s="2"/>
      <c r="Q51" s="2"/>
      <c r="R51" s="2"/>
      <c r="S51" s="2"/>
      <c r="T51" s="2"/>
      <c r="U51" s="2"/>
      <c r="V51" s="2"/>
      <c r="W51" s="2"/>
      <c r="X51" s="2"/>
      <c r="Y51" s="2"/>
      <c r="Z51" s="2"/>
      <c r="AA51" s="2"/>
      <c r="AB51" s="69"/>
      <c r="AC51" s="69"/>
      <c r="AD51" s="69"/>
      <c r="AE51" s="69"/>
      <c r="AF51" s="69"/>
      <c r="AG51" s="69"/>
    </row>
    <row r="52" spans="1:33" x14ac:dyDescent="0.2">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69"/>
      <c r="AC52" s="69"/>
      <c r="AD52" s="69"/>
      <c r="AE52" s="69"/>
      <c r="AF52" s="69"/>
      <c r="AG52" s="69"/>
    </row>
    <row r="53" spans="1:33" x14ac:dyDescent="0.2">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69"/>
      <c r="AC53" s="69"/>
      <c r="AD53" s="69"/>
      <c r="AE53" s="69"/>
      <c r="AF53" s="69"/>
      <c r="AG53" s="69"/>
    </row>
    <row r="54" spans="1:33" x14ac:dyDescent="0.2">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69"/>
      <c r="AC54" s="69"/>
      <c r="AD54" s="69"/>
      <c r="AE54" s="69"/>
      <c r="AF54" s="69"/>
      <c r="AG54" s="69"/>
    </row>
    <row r="55" spans="1:33" x14ac:dyDescent="0.2">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69"/>
      <c r="AC55" s="69"/>
      <c r="AD55" s="69"/>
      <c r="AE55" s="69"/>
      <c r="AF55" s="69"/>
      <c r="AG55" s="69"/>
    </row>
    <row r="56" spans="1:33" x14ac:dyDescent="0.2">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69"/>
      <c r="AC56" s="69"/>
      <c r="AD56" s="69"/>
      <c r="AE56" s="69"/>
      <c r="AF56" s="69"/>
      <c r="AG56" s="69"/>
    </row>
    <row r="57" spans="1:33" x14ac:dyDescent="0.2">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69"/>
      <c r="AC57" s="69"/>
      <c r="AD57" s="69"/>
      <c r="AE57" s="69"/>
      <c r="AF57" s="69"/>
      <c r="AG57" s="69"/>
    </row>
    <row r="58" spans="1:33" x14ac:dyDescent="0.2">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69"/>
      <c r="AC58" s="69"/>
      <c r="AD58" s="69"/>
      <c r="AE58" s="69"/>
      <c r="AF58" s="69"/>
      <c r="AG58" s="69"/>
    </row>
    <row r="59" spans="1:33" x14ac:dyDescent="0.2">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69"/>
      <c r="AC59" s="69"/>
      <c r="AD59" s="69"/>
      <c r="AE59" s="69"/>
      <c r="AF59" s="69"/>
      <c r="AG59" s="69"/>
    </row>
    <row r="60" spans="1:33" x14ac:dyDescent="0.2">
      <c r="A60" s="69"/>
      <c r="B60" s="69"/>
      <c r="C60" s="69"/>
      <c r="D60" s="69"/>
      <c r="E60" s="69"/>
      <c r="F60" s="69"/>
      <c r="G60" s="69"/>
      <c r="H60" s="69"/>
      <c r="I60" s="69"/>
      <c r="J60" s="69"/>
      <c r="K60" s="69"/>
      <c r="L60" s="69"/>
      <c r="M60" s="69"/>
      <c r="N60" s="69"/>
      <c r="O60" s="69"/>
      <c r="P60" s="69"/>
      <c r="Q60" s="69"/>
      <c r="R60" s="2"/>
      <c r="S60" s="2"/>
      <c r="T60" s="2"/>
      <c r="U60" s="2"/>
      <c r="V60" s="2"/>
      <c r="W60" s="2"/>
      <c r="X60" s="2"/>
      <c r="Y60" s="2"/>
      <c r="Z60" s="2"/>
      <c r="AA60" s="2"/>
      <c r="AB60" s="69"/>
      <c r="AC60" s="69"/>
      <c r="AD60" s="69"/>
      <c r="AE60" s="69"/>
      <c r="AF60" s="69"/>
      <c r="AG60" s="69"/>
    </row>
    <row r="61" spans="1:33" x14ac:dyDescent="0.2">
      <c r="A61" s="69"/>
      <c r="B61" s="69"/>
      <c r="C61" s="69"/>
      <c r="D61" s="69"/>
      <c r="E61" s="69"/>
      <c r="F61" s="69"/>
      <c r="G61" s="69"/>
      <c r="H61" s="69"/>
      <c r="I61" s="69"/>
      <c r="J61" s="69"/>
      <c r="K61" s="69"/>
      <c r="L61" s="69"/>
      <c r="M61" s="69"/>
      <c r="N61" s="69"/>
      <c r="O61" s="69"/>
      <c r="P61" s="69"/>
      <c r="Q61" s="69"/>
      <c r="R61" s="2"/>
      <c r="S61" s="2"/>
      <c r="T61" s="2"/>
      <c r="U61" s="2"/>
      <c r="V61" s="2"/>
      <c r="W61" s="2"/>
      <c r="X61" s="2"/>
      <c r="Y61" s="2"/>
      <c r="Z61" s="2"/>
      <c r="AA61" s="2"/>
      <c r="AB61" s="69"/>
      <c r="AC61" s="69"/>
      <c r="AD61" s="69"/>
      <c r="AE61" s="69"/>
      <c r="AF61" s="69"/>
      <c r="AG61" s="69"/>
    </row>
    <row r="62" spans="1:33" x14ac:dyDescent="0.2">
      <c r="A62" s="69"/>
      <c r="B62" s="69"/>
      <c r="C62" s="69"/>
      <c r="D62" s="69"/>
      <c r="E62" s="69"/>
      <c r="F62" s="69"/>
      <c r="G62" s="69"/>
      <c r="H62" s="69"/>
      <c r="I62" s="69"/>
      <c r="J62" s="69"/>
      <c r="K62" s="69"/>
      <c r="L62" s="69"/>
      <c r="M62" s="69"/>
      <c r="N62" s="69"/>
      <c r="O62" s="69"/>
      <c r="P62" s="69"/>
      <c r="Q62" s="69"/>
      <c r="R62" s="2"/>
      <c r="S62" s="2"/>
      <c r="T62" s="2"/>
      <c r="U62" s="2"/>
      <c r="V62" s="2"/>
      <c r="W62" s="2"/>
      <c r="X62" s="2"/>
      <c r="Y62" s="2"/>
      <c r="Z62" s="2"/>
      <c r="AA62" s="2"/>
      <c r="AB62" s="69"/>
      <c r="AC62" s="69"/>
      <c r="AD62" s="69"/>
      <c r="AE62" s="69"/>
      <c r="AF62" s="69"/>
      <c r="AG62" s="69"/>
    </row>
    <row r="63" spans="1:33" x14ac:dyDescent="0.2">
      <c r="A63" s="69"/>
      <c r="B63" s="69"/>
      <c r="C63" s="69"/>
      <c r="D63" s="69"/>
      <c r="E63" s="69"/>
      <c r="F63" s="69"/>
      <c r="G63" s="69"/>
      <c r="H63" s="69"/>
      <c r="I63" s="69"/>
      <c r="J63" s="69"/>
      <c r="K63" s="69"/>
      <c r="L63" s="69"/>
      <c r="M63" s="69"/>
      <c r="N63" s="69"/>
      <c r="O63" s="69"/>
      <c r="P63" s="69"/>
      <c r="Q63" s="69"/>
      <c r="R63" s="2"/>
      <c r="S63" s="2"/>
      <c r="T63" s="2"/>
      <c r="U63" s="2"/>
      <c r="V63" s="2"/>
      <c r="W63" s="2"/>
      <c r="X63" s="2"/>
      <c r="Y63" s="2"/>
      <c r="Z63" s="2"/>
      <c r="AA63" s="2"/>
      <c r="AB63" s="69"/>
      <c r="AC63" s="69"/>
      <c r="AD63" s="69"/>
      <c r="AE63" s="69"/>
      <c r="AF63" s="69"/>
      <c r="AG63" s="69"/>
    </row>
    <row r="64" spans="1:33" x14ac:dyDescent="0.2">
      <c r="A64" s="69"/>
      <c r="B64" s="69"/>
      <c r="C64" s="69"/>
      <c r="D64" s="69"/>
      <c r="E64" s="69"/>
      <c r="F64" s="69"/>
      <c r="G64" s="69"/>
      <c r="H64" s="69"/>
      <c r="I64" s="69"/>
      <c r="J64" s="69"/>
      <c r="K64" s="69"/>
      <c r="L64" s="69"/>
      <c r="M64" s="69"/>
      <c r="N64" s="69"/>
      <c r="O64" s="69"/>
      <c r="P64" s="69"/>
      <c r="Q64" s="69"/>
      <c r="R64" s="2"/>
      <c r="S64" s="2"/>
      <c r="T64" s="2"/>
      <c r="U64" s="2"/>
      <c r="V64" s="2"/>
      <c r="W64" s="2"/>
      <c r="X64" s="2"/>
      <c r="Y64" s="2"/>
      <c r="Z64" s="2"/>
      <c r="AA64" s="2"/>
      <c r="AB64" s="69"/>
      <c r="AC64" s="69"/>
      <c r="AD64" s="69"/>
      <c r="AE64" s="69"/>
      <c r="AF64" s="69"/>
      <c r="AG64" s="69"/>
    </row>
    <row r="65" spans="1:33" x14ac:dyDescent="0.2">
      <c r="A65" s="69"/>
      <c r="B65" s="69"/>
      <c r="C65" s="69"/>
      <c r="D65" s="69"/>
      <c r="E65" s="69"/>
      <c r="F65" s="69"/>
      <c r="G65" s="69"/>
      <c r="H65" s="69"/>
      <c r="I65" s="69"/>
      <c r="J65" s="69"/>
      <c r="K65" s="69"/>
      <c r="L65" s="69"/>
      <c r="M65" s="69"/>
      <c r="N65" s="69"/>
      <c r="O65" s="69"/>
      <c r="P65" s="69"/>
      <c r="Q65" s="69"/>
      <c r="R65" s="2"/>
      <c r="S65" s="2"/>
      <c r="T65" s="2"/>
      <c r="U65" s="2"/>
      <c r="V65" s="2"/>
      <c r="W65" s="2"/>
      <c r="X65" s="2"/>
      <c r="Y65" s="2"/>
      <c r="Z65" s="2"/>
      <c r="AA65" s="2"/>
      <c r="AB65" s="69"/>
      <c r="AC65" s="69"/>
      <c r="AD65" s="69"/>
      <c r="AE65" s="69"/>
      <c r="AF65" s="69"/>
      <c r="AG65" s="69"/>
    </row>
    <row r="66" spans="1:33" x14ac:dyDescent="0.2">
      <c r="A66" s="69"/>
      <c r="B66" s="69"/>
      <c r="C66" s="69"/>
      <c r="D66" s="69"/>
      <c r="E66" s="69"/>
      <c r="F66" s="69"/>
      <c r="G66" s="69"/>
      <c r="H66" s="69"/>
      <c r="I66" s="69"/>
      <c r="J66" s="69"/>
      <c r="K66" s="69"/>
      <c r="L66" s="69"/>
      <c r="M66" s="69"/>
      <c r="N66" s="69"/>
      <c r="O66" s="69"/>
      <c r="P66" s="69"/>
      <c r="Q66" s="69"/>
      <c r="R66" s="2"/>
      <c r="S66" s="2"/>
      <c r="T66" s="2"/>
      <c r="U66" s="2"/>
      <c r="V66" s="2"/>
      <c r="W66" s="2"/>
      <c r="X66" s="2"/>
      <c r="Y66" s="2"/>
      <c r="Z66" s="2"/>
      <c r="AA66" s="2"/>
      <c r="AB66" s="69"/>
      <c r="AC66" s="69"/>
      <c r="AD66" s="69"/>
      <c r="AE66" s="69"/>
      <c r="AF66" s="69"/>
      <c r="AG66" s="69"/>
    </row>
    <row r="67" spans="1:33" x14ac:dyDescent="0.2">
      <c r="A67" s="69"/>
      <c r="B67" s="69"/>
      <c r="C67" s="69"/>
      <c r="D67" s="69"/>
      <c r="E67" s="69"/>
      <c r="F67" s="69"/>
      <c r="G67" s="69"/>
      <c r="H67" s="69"/>
      <c r="I67" s="69"/>
      <c r="J67" s="69"/>
      <c r="K67" s="69"/>
      <c r="L67" s="69"/>
      <c r="M67" s="69"/>
      <c r="N67" s="69"/>
      <c r="O67" s="69"/>
      <c r="P67" s="69"/>
      <c r="Q67" s="69"/>
      <c r="R67" s="69"/>
      <c r="S67" s="69"/>
      <c r="T67" s="69"/>
      <c r="U67" s="69"/>
      <c r="V67" s="69"/>
      <c r="W67" s="69"/>
      <c r="X67" s="69"/>
      <c r="Y67" s="69"/>
      <c r="Z67" s="69"/>
      <c r="AA67" s="69"/>
      <c r="AB67" s="69"/>
      <c r="AC67" s="69"/>
      <c r="AD67" s="69"/>
      <c r="AE67" s="69"/>
      <c r="AF67" s="69"/>
      <c r="AG67" s="69"/>
    </row>
    <row r="68" spans="1:33" x14ac:dyDescent="0.2">
      <c r="A68" s="69"/>
      <c r="B68" s="69"/>
      <c r="C68" s="69"/>
      <c r="D68" s="69"/>
      <c r="E68" s="69"/>
      <c r="F68" s="69"/>
      <c r="G68" s="69"/>
      <c r="H68" s="69"/>
      <c r="I68" s="69"/>
      <c r="J68" s="69"/>
      <c r="K68" s="69"/>
      <c r="L68" s="69"/>
      <c r="M68" s="69"/>
      <c r="N68" s="69"/>
      <c r="O68" s="69"/>
      <c r="P68" s="69"/>
      <c r="Q68" s="69"/>
      <c r="R68" s="69"/>
      <c r="S68" s="69"/>
      <c r="T68" s="69"/>
      <c r="U68" s="69"/>
      <c r="V68" s="69"/>
      <c r="W68" s="69"/>
      <c r="X68" s="69"/>
      <c r="Y68" s="69"/>
      <c r="Z68" s="69"/>
      <c r="AA68" s="69"/>
      <c r="AB68" s="69"/>
      <c r="AC68" s="69"/>
      <c r="AD68" s="69"/>
      <c r="AE68" s="69"/>
      <c r="AF68" s="69"/>
      <c r="AG68" s="69"/>
    </row>
    <row r="69" spans="1:33" x14ac:dyDescent="0.2">
      <c r="A69" s="69"/>
      <c r="B69" s="69"/>
      <c r="C69" s="69"/>
      <c r="D69" s="69"/>
      <c r="E69" s="69"/>
      <c r="F69" s="69"/>
      <c r="G69" s="69"/>
      <c r="H69" s="69"/>
      <c r="I69" s="69"/>
      <c r="J69" s="69"/>
      <c r="K69" s="69"/>
      <c r="L69" s="69"/>
      <c r="M69" s="69"/>
      <c r="N69" s="69"/>
      <c r="O69" s="69"/>
      <c r="P69" s="69"/>
      <c r="Q69" s="69"/>
      <c r="R69" s="69"/>
      <c r="S69" s="69"/>
      <c r="T69" s="69"/>
      <c r="U69" s="69"/>
      <c r="V69" s="69"/>
      <c r="W69" s="69"/>
      <c r="X69" s="69"/>
      <c r="Y69" s="69"/>
      <c r="Z69" s="69"/>
      <c r="AA69" s="69"/>
      <c r="AB69" s="69"/>
      <c r="AC69" s="69"/>
      <c r="AD69" s="69"/>
      <c r="AE69" s="69"/>
      <c r="AF69" s="69"/>
      <c r="AG69" s="69"/>
    </row>
    <row r="70" spans="1:33" x14ac:dyDescent="0.2">
      <c r="A70" s="69"/>
      <c r="B70" s="69"/>
      <c r="C70" s="69"/>
      <c r="D70" s="69"/>
      <c r="E70" s="69"/>
      <c r="F70" s="69"/>
      <c r="G70" s="69"/>
      <c r="H70" s="69"/>
      <c r="I70" s="69"/>
      <c r="J70" s="69"/>
      <c r="K70" s="69"/>
      <c r="L70" s="69"/>
      <c r="M70" s="69"/>
      <c r="N70" s="69"/>
      <c r="O70" s="69"/>
      <c r="P70" s="69"/>
      <c r="Q70" s="69"/>
      <c r="R70" s="69"/>
      <c r="S70" s="69"/>
      <c r="T70" s="69"/>
      <c r="U70" s="69"/>
      <c r="V70" s="69"/>
      <c r="W70" s="69"/>
      <c r="X70" s="69"/>
      <c r="Y70" s="69"/>
      <c r="Z70" s="69"/>
      <c r="AA70" s="69"/>
      <c r="AB70" s="69"/>
      <c r="AC70" s="69"/>
      <c r="AD70" s="69"/>
      <c r="AE70" s="69"/>
      <c r="AF70" s="69"/>
      <c r="AG70" s="69"/>
    </row>
    <row r="71" spans="1:33" x14ac:dyDescent="0.2">
      <c r="A71" s="69"/>
      <c r="B71" s="69"/>
      <c r="C71" s="69"/>
      <c r="D71" s="69"/>
      <c r="E71" s="69"/>
      <c r="F71" s="69"/>
      <c r="G71" s="69"/>
      <c r="H71" s="69"/>
      <c r="I71" s="69"/>
      <c r="J71" s="69"/>
      <c r="K71" s="69"/>
      <c r="L71" s="69"/>
      <c r="M71" s="69"/>
      <c r="N71" s="69"/>
      <c r="O71" s="69"/>
      <c r="P71" s="69"/>
      <c r="Q71" s="69"/>
      <c r="R71" s="69"/>
      <c r="S71" s="69"/>
      <c r="T71" s="69"/>
      <c r="U71" s="69"/>
      <c r="V71" s="69"/>
      <c r="W71" s="69"/>
      <c r="X71" s="69"/>
      <c r="Y71" s="69"/>
      <c r="Z71" s="69"/>
      <c r="AA71" s="69"/>
      <c r="AB71" s="69"/>
      <c r="AC71" s="69"/>
      <c r="AD71" s="69"/>
      <c r="AE71" s="69"/>
      <c r="AF71" s="69"/>
      <c r="AG71" s="69"/>
    </row>
    <row r="72" spans="1:33" x14ac:dyDescent="0.2">
      <c r="A72" s="69"/>
      <c r="B72" s="69"/>
      <c r="C72" s="69"/>
      <c r="D72" s="69"/>
      <c r="E72" s="69"/>
      <c r="F72" s="69"/>
      <c r="G72" s="69"/>
      <c r="H72" s="69"/>
      <c r="I72" s="69"/>
      <c r="J72" s="69"/>
      <c r="K72" s="69"/>
      <c r="L72" s="69"/>
      <c r="M72" s="69"/>
      <c r="N72" s="69"/>
      <c r="O72" s="69"/>
      <c r="P72" s="69"/>
      <c r="Q72" s="69"/>
      <c r="R72" s="69"/>
      <c r="S72" s="69"/>
      <c r="T72" s="69"/>
      <c r="U72" s="69"/>
      <c r="V72" s="69"/>
      <c r="W72" s="69"/>
      <c r="X72" s="69"/>
      <c r="Y72" s="69"/>
      <c r="Z72" s="69"/>
      <c r="AA72" s="69"/>
      <c r="AB72" s="69"/>
      <c r="AC72" s="69"/>
      <c r="AD72" s="69"/>
      <c r="AE72" s="69"/>
      <c r="AF72" s="69"/>
      <c r="AG72" s="69"/>
    </row>
    <row r="73" spans="1:33" x14ac:dyDescent="0.2">
      <c r="A73" s="69"/>
      <c r="B73" s="69"/>
      <c r="C73" s="69"/>
      <c r="D73" s="69"/>
      <c r="E73" s="69"/>
      <c r="F73" s="69"/>
      <c r="G73" s="69"/>
      <c r="H73" s="69"/>
      <c r="I73" s="69"/>
      <c r="J73" s="69"/>
      <c r="K73" s="69"/>
      <c r="L73" s="69"/>
      <c r="M73" s="69"/>
      <c r="N73" s="69"/>
      <c r="O73" s="69"/>
      <c r="P73" s="69"/>
      <c r="Q73" s="69"/>
      <c r="R73" s="69"/>
      <c r="S73" s="69"/>
      <c r="T73" s="69"/>
      <c r="U73" s="69"/>
      <c r="V73" s="69"/>
      <c r="W73" s="69"/>
      <c r="X73" s="69"/>
      <c r="Y73" s="69"/>
      <c r="Z73" s="69"/>
      <c r="AA73" s="69"/>
      <c r="AB73" s="69"/>
      <c r="AC73" s="69"/>
      <c r="AD73" s="69"/>
      <c r="AE73" s="69"/>
      <c r="AF73" s="69"/>
      <c r="AG73" s="69"/>
    </row>
    <row r="74" spans="1:33" x14ac:dyDescent="0.2">
      <c r="A74" s="69"/>
      <c r="B74" s="69"/>
      <c r="C74" s="69"/>
      <c r="D74" s="69"/>
      <c r="E74" s="69"/>
      <c r="F74" s="69"/>
      <c r="G74" s="69"/>
      <c r="H74" s="69"/>
      <c r="I74" s="69"/>
      <c r="J74" s="69"/>
      <c r="K74" s="69"/>
      <c r="L74" s="69"/>
      <c r="M74" s="69"/>
      <c r="N74" s="69"/>
      <c r="O74" s="69"/>
      <c r="P74" s="69"/>
      <c r="Q74" s="69"/>
      <c r="R74" s="69"/>
      <c r="S74" s="69"/>
      <c r="T74" s="69"/>
      <c r="U74" s="69"/>
      <c r="V74" s="69"/>
      <c r="W74" s="69"/>
      <c r="X74" s="69"/>
      <c r="Y74" s="69"/>
      <c r="Z74" s="69"/>
      <c r="AA74" s="69"/>
      <c r="AB74" s="69"/>
      <c r="AC74" s="69"/>
      <c r="AD74" s="69"/>
      <c r="AE74" s="69"/>
      <c r="AF74" s="69"/>
      <c r="AG74" s="69"/>
    </row>
    <row r="75" spans="1:33" x14ac:dyDescent="0.2">
      <c r="A75" s="69"/>
      <c r="B75" s="69"/>
      <c r="C75" s="69"/>
      <c r="D75" s="69"/>
      <c r="E75" s="69"/>
      <c r="F75" s="69"/>
      <c r="G75" s="69"/>
      <c r="H75" s="69"/>
      <c r="I75" s="69"/>
      <c r="J75" s="69"/>
      <c r="K75" s="69"/>
      <c r="L75" s="69"/>
      <c r="M75" s="69"/>
      <c r="N75" s="69"/>
      <c r="O75" s="69"/>
      <c r="P75" s="69"/>
      <c r="Q75" s="69"/>
      <c r="R75" s="69"/>
      <c r="S75" s="69"/>
      <c r="T75" s="69"/>
      <c r="U75" s="69"/>
      <c r="V75" s="69"/>
      <c r="W75" s="69"/>
      <c r="X75" s="69"/>
      <c r="Y75" s="69"/>
      <c r="Z75" s="69"/>
      <c r="AA75" s="69"/>
      <c r="AB75" s="69"/>
      <c r="AC75" s="69"/>
      <c r="AD75" s="69"/>
      <c r="AE75" s="69"/>
      <c r="AF75" s="69"/>
      <c r="AG75" s="69"/>
    </row>
    <row r="76" spans="1:33" x14ac:dyDescent="0.2">
      <c r="A76" s="69"/>
      <c r="B76" s="69"/>
      <c r="C76" s="69"/>
      <c r="D76" s="69"/>
      <c r="E76" s="69"/>
      <c r="F76" s="69"/>
      <c r="G76" s="69"/>
      <c r="H76" s="69"/>
      <c r="I76" s="69"/>
      <c r="J76" s="69"/>
      <c r="K76" s="69"/>
      <c r="L76" s="69"/>
      <c r="M76" s="69"/>
      <c r="N76" s="69"/>
      <c r="O76" s="69"/>
      <c r="P76" s="69"/>
      <c r="Q76" s="69"/>
      <c r="R76" s="69"/>
      <c r="S76" s="69"/>
      <c r="T76" s="69"/>
      <c r="U76" s="69"/>
      <c r="V76" s="69"/>
      <c r="W76" s="69"/>
      <c r="X76" s="69"/>
      <c r="Y76" s="69"/>
      <c r="Z76" s="69"/>
      <c r="AA76" s="69"/>
      <c r="AB76" s="69"/>
      <c r="AC76" s="69"/>
      <c r="AD76" s="69"/>
      <c r="AE76" s="69"/>
      <c r="AF76" s="69"/>
      <c r="AG76" s="69"/>
    </row>
    <row r="77" spans="1:33" x14ac:dyDescent="0.2">
      <c r="A77" s="69"/>
      <c r="B77" s="69"/>
      <c r="C77" s="69"/>
      <c r="D77" s="69"/>
      <c r="E77" s="69"/>
      <c r="F77" s="69"/>
      <c r="G77" s="69"/>
      <c r="H77" s="69"/>
      <c r="I77" s="69"/>
      <c r="J77" s="69"/>
      <c r="K77" s="69"/>
      <c r="L77" s="69"/>
      <c r="M77" s="69"/>
      <c r="N77" s="69"/>
      <c r="O77" s="69"/>
      <c r="P77" s="69"/>
      <c r="Q77" s="69"/>
      <c r="R77" s="69"/>
      <c r="S77" s="69"/>
      <c r="T77" s="69"/>
      <c r="U77" s="69"/>
      <c r="V77" s="69"/>
      <c r="W77" s="69"/>
      <c r="X77" s="69"/>
      <c r="Y77" s="69"/>
      <c r="Z77" s="69"/>
      <c r="AA77" s="69"/>
      <c r="AB77" s="69"/>
      <c r="AC77" s="69"/>
      <c r="AD77" s="69"/>
      <c r="AE77" s="69"/>
      <c r="AF77" s="69"/>
      <c r="AG77" s="69"/>
    </row>
    <row r="78" spans="1:33" x14ac:dyDescent="0.2">
      <c r="A78" s="69"/>
      <c r="B78" s="69"/>
      <c r="C78" s="69"/>
      <c r="D78" s="69"/>
      <c r="E78" s="69"/>
      <c r="F78" s="69"/>
      <c r="G78" s="69"/>
      <c r="H78" s="69"/>
      <c r="I78" s="69"/>
      <c r="J78" s="69"/>
      <c r="K78" s="69"/>
      <c r="L78" s="69"/>
      <c r="M78" s="69"/>
      <c r="N78" s="69"/>
      <c r="O78" s="69"/>
      <c r="P78" s="69"/>
      <c r="Q78" s="69"/>
      <c r="R78" s="69"/>
      <c r="S78" s="69"/>
      <c r="T78" s="69"/>
      <c r="U78" s="69"/>
      <c r="V78" s="69"/>
      <c r="W78" s="69"/>
      <c r="X78" s="69"/>
      <c r="Y78" s="69"/>
      <c r="Z78" s="69"/>
      <c r="AA78" s="69"/>
      <c r="AB78" s="69"/>
      <c r="AC78" s="69"/>
      <c r="AD78" s="69"/>
      <c r="AE78" s="69"/>
      <c r="AF78" s="69"/>
      <c r="AG78" s="69"/>
    </row>
    <row r="79" spans="1:33" x14ac:dyDescent="0.2">
      <c r="A79" s="69"/>
      <c r="B79" s="69"/>
      <c r="C79" s="69"/>
      <c r="D79" s="69"/>
      <c r="E79" s="69"/>
      <c r="F79" s="69"/>
      <c r="G79" s="69"/>
      <c r="H79" s="69"/>
      <c r="I79" s="69"/>
      <c r="J79" s="69"/>
      <c r="K79" s="69"/>
      <c r="L79" s="69"/>
      <c r="M79" s="69"/>
      <c r="N79" s="69"/>
      <c r="O79" s="69"/>
      <c r="P79" s="69"/>
      <c r="Q79" s="69"/>
      <c r="R79" s="69"/>
      <c r="S79" s="69"/>
      <c r="T79" s="69"/>
      <c r="U79" s="69"/>
      <c r="V79" s="69"/>
      <c r="W79" s="69"/>
      <c r="X79" s="69"/>
      <c r="Y79" s="69"/>
      <c r="Z79" s="69"/>
      <c r="AA79" s="69"/>
      <c r="AB79" s="69"/>
      <c r="AC79" s="69"/>
      <c r="AD79" s="69"/>
      <c r="AE79" s="69"/>
      <c r="AF79" s="69"/>
      <c r="AG79" s="69"/>
    </row>
    <row r="80" spans="1:33" x14ac:dyDescent="0.2">
      <c r="A80" s="69"/>
      <c r="B80" s="69"/>
      <c r="C80" s="69"/>
      <c r="D80" s="69"/>
      <c r="E80" s="69"/>
      <c r="F80" s="69"/>
      <c r="G80" s="69"/>
      <c r="H80" s="69"/>
      <c r="I80" s="69"/>
      <c r="J80" s="69"/>
      <c r="K80" s="69"/>
      <c r="L80" s="69"/>
      <c r="M80" s="69"/>
      <c r="N80" s="69"/>
      <c r="O80" s="69"/>
      <c r="P80" s="69"/>
      <c r="Q80" s="69"/>
      <c r="R80" s="69"/>
      <c r="S80" s="69"/>
      <c r="T80" s="69"/>
      <c r="U80" s="69"/>
      <c r="V80" s="69"/>
      <c r="W80" s="69"/>
      <c r="X80" s="69"/>
      <c r="Y80" s="69"/>
      <c r="Z80" s="69"/>
      <c r="AA80" s="69"/>
      <c r="AB80" s="69"/>
      <c r="AC80" s="69"/>
      <c r="AD80" s="69"/>
      <c r="AE80" s="69"/>
      <c r="AF80" s="69"/>
      <c r="AG80" s="69"/>
    </row>
    <row r="81" spans="1:33" x14ac:dyDescent="0.2">
      <c r="A81" s="69"/>
      <c r="B81" s="69"/>
      <c r="C81" s="69"/>
      <c r="D81" s="69"/>
      <c r="E81" s="69"/>
      <c r="F81" s="69"/>
      <c r="G81" s="69"/>
      <c r="H81" s="69"/>
      <c r="I81" s="69"/>
      <c r="J81" s="69"/>
      <c r="K81" s="69"/>
      <c r="L81" s="69"/>
      <c r="M81" s="69"/>
      <c r="N81" s="69"/>
      <c r="O81" s="69"/>
      <c r="P81" s="69"/>
      <c r="Q81" s="69"/>
      <c r="R81" s="69"/>
      <c r="S81" s="69"/>
      <c r="T81" s="69"/>
      <c r="U81" s="69"/>
      <c r="V81" s="69"/>
      <c r="W81" s="69"/>
      <c r="X81" s="69"/>
      <c r="Y81" s="69"/>
      <c r="Z81" s="69"/>
      <c r="AA81" s="69"/>
      <c r="AB81" s="69"/>
      <c r="AC81" s="69"/>
      <c r="AD81" s="69"/>
      <c r="AE81" s="69"/>
      <c r="AF81" s="69"/>
      <c r="AG81" s="69"/>
    </row>
    <row r="82" spans="1:33" x14ac:dyDescent="0.2">
      <c r="A82" s="69"/>
      <c r="B82" s="69"/>
      <c r="C82" s="69"/>
      <c r="D82" s="69"/>
      <c r="E82" s="69"/>
      <c r="F82" s="69"/>
      <c r="G82" s="69"/>
      <c r="H82" s="69"/>
      <c r="I82" s="69"/>
      <c r="J82" s="69"/>
      <c r="K82" s="69"/>
      <c r="L82" s="69"/>
      <c r="M82" s="69"/>
      <c r="N82" s="69"/>
      <c r="O82" s="69"/>
      <c r="P82" s="69"/>
      <c r="Q82" s="69"/>
      <c r="R82" s="69"/>
      <c r="S82" s="69"/>
      <c r="T82" s="69"/>
      <c r="U82" s="69"/>
      <c r="V82" s="69"/>
      <c r="W82" s="69"/>
      <c r="X82" s="69"/>
      <c r="Y82" s="69"/>
      <c r="Z82" s="69"/>
      <c r="AA82" s="69"/>
      <c r="AB82" s="69"/>
      <c r="AC82" s="69"/>
      <c r="AD82" s="69"/>
      <c r="AE82" s="69"/>
      <c r="AF82" s="69"/>
      <c r="AG82" s="69"/>
    </row>
    <row r="83" spans="1:33" x14ac:dyDescent="0.2">
      <c r="A83" s="69"/>
      <c r="B83" s="69"/>
      <c r="C83" s="69"/>
      <c r="D83" s="69"/>
      <c r="E83" s="69"/>
      <c r="F83" s="69"/>
      <c r="G83" s="69"/>
      <c r="H83" s="69"/>
      <c r="I83" s="69"/>
      <c r="J83" s="69"/>
      <c r="K83" s="69"/>
      <c r="L83" s="69"/>
      <c r="M83" s="69"/>
      <c r="N83" s="69"/>
      <c r="O83" s="69"/>
      <c r="P83" s="69"/>
      <c r="Q83" s="69"/>
      <c r="R83" s="69"/>
      <c r="S83" s="69"/>
      <c r="T83" s="69"/>
      <c r="U83" s="69"/>
      <c r="V83" s="69"/>
      <c r="W83" s="69"/>
      <c r="X83" s="69"/>
      <c r="Y83" s="69"/>
      <c r="Z83" s="69"/>
      <c r="AA83" s="69"/>
      <c r="AB83" s="69"/>
      <c r="AC83" s="69"/>
      <c r="AD83" s="69"/>
      <c r="AE83" s="69"/>
      <c r="AF83" s="69"/>
      <c r="AG83" s="69"/>
    </row>
    <row r="84" spans="1:33" x14ac:dyDescent="0.2">
      <c r="A84" s="69"/>
      <c r="B84" s="69"/>
      <c r="C84" s="69"/>
      <c r="D84" s="69"/>
      <c r="E84" s="69"/>
      <c r="F84" s="69"/>
      <c r="G84" s="69"/>
      <c r="H84" s="69"/>
      <c r="I84" s="69"/>
      <c r="J84" s="69"/>
      <c r="K84" s="69"/>
      <c r="L84" s="69"/>
      <c r="M84" s="69"/>
      <c r="N84" s="69"/>
      <c r="O84" s="69"/>
      <c r="P84" s="69"/>
      <c r="Q84" s="69"/>
      <c r="R84" s="69"/>
      <c r="S84" s="69"/>
      <c r="T84" s="69"/>
      <c r="U84" s="69"/>
      <c r="V84" s="69"/>
      <c r="W84" s="69"/>
      <c r="X84" s="69"/>
      <c r="Y84" s="69"/>
      <c r="Z84" s="69"/>
      <c r="AA84" s="69"/>
      <c r="AB84" s="69"/>
      <c r="AC84" s="69"/>
      <c r="AD84" s="69"/>
      <c r="AE84" s="69"/>
      <c r="AF84" s="69"/>
      <c r="AG84" s="69"/>
    </row>
    <row r="85" spans="1:33" x14ac:dyDescent="0.2">
      <c r="A85" s="69"/>
      <c r="B85" s="69"/>
      <c r="C85" s="69"/>
      <c r="D85" s="69"/>
      <c r="E85" s="69"/>
      <c r="F85" s="69"/>
      <c r="G85" s="69"/>
      <c r="H85" s="69"/>
      <c r="I85" s="69"/>
      <c r="J85" s="69"/>
      <c r="K85" s="69"/>
      <c r="L85" s="69"/>
      <c r="M85" s="69"/>
      <c r="N85" s="69"/>
      <c r="O85" s="69"/>
      <c r="P85" s="69"/>
      <c r="Q85" s="69"/>
      <c r="R85" s="69"/>
      <c r="S85" s="69"/>
      <c r="T85" s="69"/>
      <c r="U85" s="69"/>
      <c r="V85" s="69"/>
      <c r="W85" s="69"/>
      <c r="X85" s="69"/>
      <c r="Y85" s="69"/>
      <c r="Z85" s="69"/>
      <c r="AA85" s="69"/>
      <c r="AB85" s="69"/>
      <c r="AC85" s="69"/>
      <c r="AD85" s="69"/>
      <c r="AE85" s="69"/>
      <c r="AF85" s="69"/>
      <c r="AG85" s="69"/>
    </row>
    <row r="86" spans="1:33" x14ac:dyDescent="0.2">
      <c r="A86" s="69"/>
      <c r="B86" s="69"/>
      <c r="C86" s="69"/>
      <c r="D86" s="69"/>
      <c r="E86" s="69"/>
      <c r="F86" s="69"/>
      <c r="G86" s="69"/>
      <c r="H86" s="69"/>
      <c r="I86" s="69"/>
      <c r="J86" s="69"/>
      <c r="K86" s="69"/>
      <c r="L86" s="69"/>
      <c r="M86" s="69"/>
      <c r="N86" s="69"/>
      <c r="O86" s="69"/>
      <c r="P86" s="69"/>
      <c r="Q86" s="69"/>
      <c r="R86" s="69"/>
      <c r="S86" s="69"/>
      <c r="T86" s="69"/>
      <c r="U86" s="69"/>
      <c r="V86" s="69"/>
      <c r="W86" s="69"/>
      <c r="X86" s="69"/>
      <c r="Y86" s="69"/>
      <c r="Z86" s="69"/>
      <c r="AA86" s="69"/>
      <c r="AB86" s="69"/>
      <c r="AC86" s="69"/>
      <c r="AD86" s="69"/>
      <c r="AE86" s="69"/>
      <c r="AF86" s="69"/>
      <c r="AG86" s="69"/>
    </row>
    <row r="87" spans="1:33" x14ac:dyDescent="0.2">
      <c r="A87" s="69"/>
      <c r="B87" s="69"/>
      <c r="C87" s="69"/>
      <c r="D87" s="69"/>
      <c r="E87" s="69"/>
      <c r="F87" s="69"/>
      <c r="G87" s="69"/>
      <c r="H87" s="69"/>
      <c r="I87" s="69"/>
      <c r="J87" s="69"/>
      <c r="K87" s="69"/>
      <c r="L87" s="69"/>
      <c r="M87" s="69"/>
      <c r="N87" s="69"/>
      <c r="O87" s="69"/>
      <c r="P87" s="69"/>
      <c r="Q87" s="69"/>
      <c r="R87" s="69"/>
      <c r="S87" s="69"/>
      <c r="T87" s="69"/>
      <c r="U87" s="69"/>
      <c r="V87" s="69"/>
      <c r="W87" s="69"/>
      <c r="X87" s="69"/>
      <c r="Y87" s="69"/>
      <c r="Z87" s="69"/>
      <c r="AA87" s="69"/>
      <c r="AB87" s="69"/>
      <c r="AC87" s="69"/>
      <c r="AD87" s="69"/>
      <c r="AE87" s="69"/>
      <c r="AF87" s="69"/>
      <c r="AG87" s="69"/>
    </row>
    <row r="88" spans="1:33" x14ac:dyDescent="0.2">
      <c r="A88" s="69"/>
      <c r="B88" s="69"/>
      <c r="C88" s="69"/>
      <c r="D88" s="69"/>
      <c r="E88" s="69"/>
      <c r="F88" s="69"/>
      <c r="G88" s="69"/>
      <c r="H88" s="69"/>
      <c r="I88" s="69"/>
      <c r="J88" s="69"/>
      <c r="K88" s="69"/>
      <c r="L88" s="69"/>
      <c r="M88" s="69"/>
      <c r="N88" s="69"/>
      <c r="O88" s="69"/>
      <c r="P88" s="69"/>
      <c r="Q88" s="69"/>
      <c r="R88" s="69"/>
      <c r="S88" s="69"/>
      <c r="T88" s="69"/>
      <c r="U88" s="69"/>
      <c r="V88" s="69"/>
      <c r="W88" s="69"/>
      <c r="X88" s="69"/>
      <c r="Y88" s="69"/>
      <c r="Z88" s="69"/>
      <c r="AA88" s="69"/>
      <c r="AB88" s="69"/>
      <c r="AC88" s="69"/>
      <c r="AD88" s="69"/>
      <c r="AE88" s="69"/>
      <c r="AF88" s="69"/>
      <c r="AG88" s="69"/>
    </row>
    <row r="89" spans="1:33" x14ac:dyDescent="0.2">
      <c r="A89" s="69"/>
      <c r="B89" s="69"/>
      <c r="C89" s="69"/>
      <c r="D89" s="69"/>
      <c r="E89" s="69"/>
      <c r="F89" s="69"/>
      <c r="G89" s="69"/>
      <c r="H89" s="69"/>
      <c r="I89" s="69"/>
      <c r="J89" s="69"/>
      <c r="K89" s="69"/>
      <c r="L89" s="69"/>
      <c r="M89" s="69"/>
      <c r="N89" s="69"/>
      <c r="O89" s="69"/>
      <c r="P89" s="69"/>
      <c r="Q89" s="69"/>
      <c r="R89" s="69"/>
      <c r="S89" s="69"/>
      <c r="T89" s="69"/>
      <c r="U89" s="69"/>
      <c r="V89" s="69"/>
      <c r="W89" s="69"/>
      <c r="X89" s="69"/>
      <c r="Y89" s="69"/>
      <c r="Z89" s="69"/>
      <c r="AA89" s="69"/>
      <c r="AB89" s="69"/>
      <c r="AC89" s="69"/>
      <c r="AD89" s="69"/>
      <c r="AE89" s="69"/>
      <c r="AF89" s="69"/>
      <c r="AG89" s="69"/>
    </row>
    <row r="90" spans="1:33" x14ac:dyDescent="0.2">
      <c r="A90" s="69"/>
      <c r="B90" s="69"/>
      <c r="C90" s="69"/>
      <c r="D90" s="69"/>
      <c r="E90" s="69"/>
      <c r="F90" s="69"/>
      <c r="G90" s="69"/>
      <c r="H90" s="69"/>
      <c r="I90" s="69"/>
      <c r="J90" s="69"/>
      <c r="K90" s="69"/>
      <c r="L90" s="69"/>
      <c r="M90" s="69"/>
      <c r="N90" s="69"/>
      <c r="O90" s="69"/>
      <c r="P90" s="69"/>
      <c r="Q90" s="69"/>
      <c r="R90" s="69"/>
      <c r="S90" s="69"/>
      <c r="T90" s="69"/>
      <c r="U90" s="69"/>
      <c r="V90" s="69"/>
      <c r="W90" s="69"/>
      <c r="X90" s="69"/>
      <c r="Y90" s="69"/>
      <c r="Z90" s="69"/>
      <c r="AA90" s="69"/>
      <c r="AB90" s="69"/>
      <c r="AC90" s="69"/>
      <c r="AD90" s="69"/>
      <c r="AE90" s="69"/>
      <c r="AF90" s="69"/>
      <c r="AG90" s="69"/>
    </row>
    <row r="91" spans="1:33" x14ac:dyDescent="0.2">
      <c r="A91" s="69"/>
      <c r="B91" s="69"/>
      <c r="C91" s="69"/>
      <c r="D91" s="69"/>
      <c r="E91" s="69"/>
      <c r="F91" s="69"/>
      <c r="G91" s="69"/>
      <c r="H91" s="69"/>
      <c r="I91" s="69"/>
      <c r="J91" s="69"/>
      <c r="K91" s="69"/>
      <c r="L91" s="69"/>
      <c r="M91" s="69"/>
      <c r="N91" s="69"/>
      <c r="O91" s="69"/>
      <c r="P91" s="69"/>
      <c r="Q91" s="69"/>
      <c r="R91" s="69"/>
      <c r="S91" s="69"/>
      <c r="T91" s="69"/>
      <c r="U91" s="69"/>
      <c r="V91" s="69"/>
      <c r="W91" s="69"/>
      <c r="X91" s="69"/>
      <c r="Y91" s="69"/>
      <c r="Z91" s="69"/>
      <c r="AA91" s="69"/>
      <c r="AB91" s="69"/>
      <c r="AC91" s="69"/>
      <c r="AD91" s="69"/>
      <c r="AE91" s="69"/>
      <c r="AF91" s="69"/>
      <c r="AG91" s="69"/>
    </row>
  </sheetData>
  <sortState xmlns:xlrd2="http://schemas.microsoft.com/office/spreadsheetml/2017/richdata2" ref="A2:G31">
    <sortCondition descending="1" ref="C2:C31"/>
  </sortState>
  <mergeCells count="12">
    <mergeCell ref="A37:C51"/>
    <mergeCell ref="H1:I1"/>
    <mergeCell ref="A36:C36"/>
    <mergeCell ref="D36:G36"/>
    <mergeCell ref="E37:G38"/>
    <mergeCell ref="D37:D38"/>
    <mergeCell ref="E39:G42"/>
    <mergeCell ref="J2:K2"/>
    <mergeCell ref="J1:K1"/>
    <mergeCell ref="E43:G45"/>
    <mergeCell ref="D39:D42"/>
    <mergeCell ref="D43:D45"/>
  </mergeCells>
  <conditionalFormatting sqref="G2:G3">
    <cfRule type="colorScale" priority="47">
      <colorScale>
        <cfvo type="min"/>
        <cfvo type="percentile" val="50"/>
        <cfvo type="max"/>
        <color rgb="FF63BE7B"/>
        <color rgb="FFFFEB84"/>
        <color rgb="FFF8696B"/>
      </colorScale>
    </cfRule>
  </conditionalFormatting>
  <conditionalFormatting sqref="C2:C3">
    <cfRule type="colorScale" priority="45">
      <colorScale>
        <cfvo type="min"/>
        <cfvo type="percentile" val="50"/>
        <cfvo type="max"/>
        <color rgb="FFF8696B"/>
        <color rgb="FFFFEB84"/>
        <color rgb="FF63BE7B"/>
      </colorScale>
    </cfRule>
  </conditionalFormatting>
  <conditionalFormatting sqref="A9:G9">
    <cfRule type="expression" dxfId="27" priority="19">
      <formula>$E$9+$E$10=550</formula>
    </cfRule>
  </conditionalFormatting>
  <conditionalFormatting sqref="C10:G10">
    <cfRule type="expression" dxfId="26" priority="18">
      <formula>$E$10+$E$11=550</formula>
    </cfRule>
  </conditionalFormatting>
  <conditionalFormatting sqref="C11:G11">
    <cfRule type="expression" dxfId="25" priority="17">
      <formula>$E$11+$E$12=550</formula>
    </cfRule>
  </conditionalFormatting>
  <conditionalFormatting sqref="C12:G12">
    <cfRule type="expression" dxfId="24" priority="16">
      <formula>$E$12+$E$13=550</formula>
    </cfRule>
  </conditionalFormatting>
  <conditionalFormatting sqref="C13:G13">
    <cfRule type="expression" dxfId="23" priority="15">
      <formula>$E$13+$E$14=550</formula>
    </cfRule>
  </conditionalFormatting>
  <conditionalFormatting sqref="A14:G14">
    <cfRule type="expression" dxfId="22" priority="14">
      <formula>$E$14+$E$15=550</formula>
    </cfRule>
  </conditionalFormatting>
  <conditionalFormatting sqref="A15:G15">
    <cfRule type="expression" dxfId="21" priority="13">
      <formula>$E$15+$E$16=550</formula>
    </cfRule>
  </conditionalFormatting>
  <conditionalFormatting sqref="A16:G16">
    <cfRule type="expression" dxfId="20" priority="12">
      <formula>$E$16+$E$17=550</formula>
    </cfRule>
  </conditionalFormatting>
  <conditionalFormatting sqref="A17:G17">
    <cfRule type="expression" dxfId="19" priority="11">
      <formula>$E$17+$E$18=550</formula>
    </cfRule>
  </conditionalFormatting>
  <conditionalFormatting sqref="A18:G18">
    <cfRule type="expression" dxfId="18" priority="10">
      <formula>$E$18+$E$19=550</formula>
    </cfRule>
  </conditionalFormatting>
  <conditionalFormatting sqref="A19:G19">
    <cfRule type="expression" dxfId="17" priority="9">
      <formula>$E$19+$E$20=550</formula>
    </cfRule>
  </conditionalFormatting>
  <conditionalFormatting sqref="A20:G20">
    <cfRule type="expression" dxfId="16" priority="8">
      <formula>$E$20+$E$21=550</formula>
    </cfRule>
  </conditionalFormatting>
  <conditionalFormatting sqref="A21:G21">
    <cfRule type="expression" dxfId="15" priority="7">
      <formula>$E$21+$E$22=550</formula>
    </cfRule>
  </conditionalFormatting>
  <conditionalFormatting sqref="A22:G22">
    <cfRule type="expression" dxfId="14" priority="6">
      <formula>$E$22+$E$23=550</formula>
    </cfRule>
  </conditionalFormatting>
  <conditionalFormatting sqref="A23:G23">
    <cfRule type="expression" dxfId="13" priority="5">
      <formula>$E$23+$E$24=550</formula>
    </cfRule>
  </conditionalFormatting>
  <conditionalFormatting sqref="A24:G24">
    <cfRule type="expression" dxfId="12" priority="4">
      <formula>$E$24+$E$25=550</formula>
    </cfRule>
  </conditionalFormatting>
  <conditionalFormatting sqref="A25:G25">
    <cfRule type="expression" dxfId="11" priority="3">
      <formula>$E$25+$E$26=550</formula>
    </cfRule>
  </conditionalFormatting>
  <conditionalFormatting sqref="C4:C34">
    <cfRule type="colorScale" priority="50">
      <colorScale>
        <cfvo type="min"/>
        <cfvo type="percentile" val="50"/>
        <cfvo type="max"/>
        <color rgb="FFF8696B"/>
        <color rgb="FFFFEB84"/>
        <color rgb="FF63BE7B"/>
      </colorScale>
    </cfRule>
  </conditionalFormatting>
  <conditionalFormatting sqref="G4:G34">
    <cfRule type="colorScale" priority="52">
      <colorScale>
        <cfvo type="min"/>
        <cfvo type="percentile" val="50"/>
        <cfvo type="max"/>
        <color rgb="FF63BE7B"/>
        <color rgb="FFFFEB84"/>
        <color rgb="FFF8696B"/>
      </colorScale>
    </cfRule>
  </conditionalFormatting>
  <conditionalFormatting sqref="G2:G34">
    <cfRule type="colorScale" priority="1">
      <colorScale>
        <cfvo type="min"/>
        <cfvo type="num" val="750"/>
        <cfvo type="max"/>
        <color rgb="FF61BD7A"/>
        <color rgb="FFFFEB84"/>
        <color rgb="FFF9696B"/>
      </colorScale>
    </cfRule>
    <cfRule type="colorScale" priority="54">
      <colorScale>
        <cfvo type="min"/>
        <cfvo type="num" val="705"/>
        <cfvo type="max"/>
        <color rgb="FF63BE7B"/>
        <color rgb="FFFFEC83"/>
        <color rgb="FFF9696B"/>
      </colorScale>
    </cfRule>
    <cfRule type="colorScale" priority="55">
      <colorScale>
        <cfvo type="min"/>
        <cfvo type="max"/>
        <color rgb="FF63BE7B"/>
        <color rgb="FFF9696B"/>
      </colorScale>
    </cfRule>
    <cfRule type="colorScale" priority="56">
      <colorScale>
        <cfvo type="min"/>
        <cfvo type="percentile" val="50"/>
        <cfvo type="max"/>
        <color rgb="FF63BE7B"/>
        <color rgb="FFFFEB84"/>
        <color rgb="FFF8696B"/>
      </colorScale>
    </cfRule>
  </conditionalFormatting>
  <conditionalFormatting sqref="F2:F34">
    <cfRule type="colorScale" priority="60">
      <colorScale>
        <cfvo type="min"/>
        <cfvo type="num" val="705"/>
        <cfvo type="max"/>
        <color rgb="FFF9696B"/>
        <color rgb="FFFFEC83"/>
        <color rgb="FF63BE7B"/>
      </colorScale>
    </cfRule>
  </conditionalFormatting>
  <conditionalFormatting sqref="C2:C34">
    <cfRule type="colorScale" priority="2">
      <colorScale>
        <cfvo type="min"/>
        <cfvo type="num" val="5"/>
        <cfvo type="max"/>
        <color rgb="FFF9696B"/>
        <color rgb="FFFFEB84"/>
        <color rgb="FF61BD7A"/>
      </colorScale>
    </cfRule>
    <cfRule type="colorScale" priority="62">
      <colorScale>
        <cfvo type="min"/>
        <cfvo type="num" val="5"/>
        <cfvo type="max"/>
        <color rgb="FFF9696B"/>
        <color rgb="FFFFEB84"/>
        <color rgb="FF63BE7B"/>
      </colorScale>
    </cfRule>
  </conditionalFormatting>
  <conditionalFormatting sqref="D2:D34">
    <cfRule type="colorScale" priority="64">
      <colorScale>
        <cfvo type="min"/>
        <cfvo type="num" val="2820"/>
        <cfvo type="max"/>
        <color rgb="FF63BE7B"/>
        <color rgb="FFFFEB84"/>
        <color rgb="FFF9696B"/>
      </colorScale>
    </cfRule>
  </conditionalFormatting>
  <conditionalFormatting sqref="H13:H34 H2:H4">
    <cfRule type="colorScale" priority="66">
      <colorScale>
        <cfvo type="min"/>
        <cfvo type="percentile" val="50"/>
        <cfvo type="max"/>
        <color rgb="FF63BE7B"/>
        <color rgb="FFFFEB84"/>
        <color rgb="FFF8696B"/>
      </colorScale>
    </cfRule>
  </conditionalFormatting>
  <pageMargins left="0.7" right="0.7" top="0.75" bottom="0.75" header="0.3" footer="0.3"/>
  <ignoredErrors>
    <ignoredError sqref="I2" formulaRange="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Charlie Albietz</dc:creator>
  <cp:lastModifiedBy>Charlie Albietz</cp:lastModifiedBy>
  <dcterms:created xsi:type="dcterms:W3CDTF">2019-11-04T11:16:42Z</dcterms:created>
  <dcterms:modified xsi:type="dcterms:W3CDTF">2020-01-24T11:11:28Z</dcterms:modified>
</cp:coreProperties>
</file>